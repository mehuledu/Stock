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3"/>
  <workbookPr filterPrivacy="1" defaultThemeVersion="124226"/>
  <bookViews>
    <workbookView xWindow="-15" yWindow="0" windowWidth="19215" windowHeight="1170" tabRatio="574"/>
  </bookViews>
  <sheets>
    <sheet name="Extrem Trading" sheetId="5" r:id="rId1"/>
    <sheet name="iTrade" sheetId="6" r:id="rId2"/>
    <sheet name="Job Rate" sheetId="3" r:id="rId3"/>
    <sheet name="Average" sheetId="9" r:id="rId4"/>
    <sheet name="DB" sheetId="8" r:id="rId5"/>
    <sheet name="Transfar" sheetId="10" r:id="rId6"/>
  </sheets>
  <definedNames>
    <definedName name="_xlnm._FilterDatabase" localSheetId="0" hidden="1">'Extrem Trading'!$A$1:$M$271</definedName>
    <definedName name="AccountType">DB!$A$2:$A$7</definedName>
  </definedNames>
  <calcPr calcId="145621"/>
</workbook>
</file>

<file path=xl/calcChain.xml><?xml version="1.0" encoding="utf-8"?>
<calcChain xmlns="http://schemas.openxmlformats.org/spreadsheetml/2006/main">
  <c r="O201" i="5" l="1"/>
  <c r="P201" i="5" s="1"/>
  <c r="N201" i="5"/>
  <c r="I139" i="5" l="1"/>
  <c r="L150" i="5"/>
  <c r="F2" i="9" l="1"/>
  <c r="E2" i="9"/>
  <c r="C3" i="9"/>
  <c r="C4" i="9"/>
  <c r="C5" i="9"/>
  <c r="C6" i="9"/>
  <c r="C7" i="9"/>
  <c r="C8" i="9"/>
  <c r="C9" i="9"/>
  <c r="C10" i="9"/>
  <c r="C11" i="9"/>
  <c r="C12" i="9"/>
  <c r="C13" i="9"/>
  <c r="C14" i="9"/>
  <c r="C15" i="9"/>
  <c r="C16" i="9"/>
  <c r="C17" i="9"/>
  <c r="C18" i="9"/>
  <c r="C19" i="9"/>
  <c r="C20" i="9"/>
  <c r="C2" i="9"/>
  <c r="G2" i="9" l="1"/>
  <c r="G250" i="5"/>
  <c r="H250" i="5"/>
  <c r="I250" i="5"/>
  <c r="J250" i="5"/>
  <c r="G251" i="5"/>
  <c r="H251" i="5"/>
  <c r="I251" i="5"/>
  <c r="J251" i="5"/>
  <c r="G252" i="5"/>
  <c r="H252" i="5"/>
  <c r="I252" i="5"/>
  <c r="J252" i="5"/>
  <c r="G253" i="5"/>
  <c r="H253" i="5"/>
  <c r="I253" i="5"/>
  <c r="J253" i="5"/>
  <c r="G254" i="5"/>
  <c r="H254" i="5"/>
  <c r="I254" i="5"/>
  <c r="J254" i="5"/>
  <c r="G255" i="5"/>
  <c r="H255" i="5"/>
  <c r="I255" i="5"/>
  <c r="J255" i="5"/>
  <c r="G256" i="5"/>
  <c r="H256" i="5"/>
  <c r="I256" i="5"/>
  <c r="J256" i="5"/>
  <c r="G257" i="5"/>
  <c r="H257" i="5"/>
  <c r="I257" i="5"/>
  <c r="J257" i="5"/>
  <c r="G258" i="5"/>
  <c r="H258" i="5"/>
  <c r="I258" i="5"/>
  <c r="J258" i="5"/>
  <c r="G259" i="5"/>
  <c r="H259" i="5"/>
  <c r="I259" i="5"/>
  <c r="J259" i="5"/>
  <c r="G260" i="5"/>
  <c r="H260" i="5"/>
  <c r="I260" i="5"/>
  <c r="J260" i="5"/>
  <c r="G261" i="5"/>
  <c r="H261" i="5"/>
  <c r="I261" i="5"/>
  <c r="J261" i="5"/>
  <c r="G262" i="5"/>
  <c r="H262" i="5"/>
  <c r="I262" i="5"/>
  <c r="J262" i="5"/>
  <c r="G263" i="5"/>
  <c r="H263" i="5"/>
  <c r="I263" i="5"/>
  <c r="J263" i="5"/>
  <c r="G264" i="5"/>
  <c r="H264" i="5"/>
  <c r="I264" i="5"/>
  <c r="J264" i="5"/>
  <c r="G265" i="5"/>
  <c r="H265" i="5"/>
  <c r="I265" i="5"/>
  <c r="J265" i="5"/>
  <c r="G266" i="5"/>
  <c r="H266" i="5"/>
  <c r="I266" i="5"/>
  <c r="J266" i="5"/>
  <c r="G267" i="5"/>
  <c r="H267" i="5"/>
  <c r="I267" i="5"/>
  <c r="J267" i="5"/>
  <c r="G268" i="5"/>
  <c r="H268" i="5"/>
  <c r="I268" i="5"/>
  <c r="J268" i="5"/>
  <c r="G269" i="5"/>
  <c r="H269" i="5"/>
  <c r="I269" i="5"/>
  <c r="J269" i="5"/>
  <c r="G270" i="5"/>
  <c r="H270" i="5"/>
  <c r="I270" i="5"/>
  <c r="J270" i="5"/>
  <c r="G271" i="5"/>
  <c r="H271" i="5"/>
  <c r="I271" i="5"/>
  <c r="J271" i="5"/>
  <c r="G30" i="5"/>
  <c r="H30" i="5"/>
  <c r="J30" i="5"/>
  <c r="G31" i="5"/>
  <c r="H31" i="5"/>
  <c r="J31" i="5"/>
  <c r="G32" i="5"/>
  <c r="H32" i="5"/>
  <c r="J32" i="5"/>
  <c r="G33" i="5"/>
  <c r="H33" i="5"/>
  <c r="J33" i="5"/>
  <c r="G34" i="5"/>
  <c r="H34" i="5"/>
  <c r="J34" i="5"/>
  <c r="G35" i="5"/>
  <c r="H35" i="5"/>
  <c r="J35" i="5"/>
  <c r="G36" i="5"/>
  <c r="H36" i="5"/>
  <c r="J36" i="5"/>
  <c r="G37" i="5"/>
  <c r="H37" i="5"/>
  <c r="J37" i="5"/>
  <c r="G38" i="5"/>
  <c r="H38" i="5"/>
  <c r="I38" i="5" s="1"/>
  <c r="J38" i="5"/>
  <c r="G39" i="5"/>
  <c r="H39" i="5"/>
  <c r="J39" i="5"/>
  <c r="G40" i="5"/>
  <c r="H40" i="5"/>
  <c r="J40" i="5"/>
  <c r="G41" i="5"/>
  <c r="H41" i="5"/>
  <c r="J41" i="5"/>
  <c r="G42" i="5"/>
  <c r="H42" i="5"/>
  <c r="J42" i="5"/>
  <c r="G43" i="5"/>
  <c r="H43" i="5"/>
  <c r="J43" i="5"/>
  <c r="G44" i="5"/>
  <c r="H44" i="5"/>
  <c r="J44" i="5"/>
  <c r="G45" i="5"/>
  <c r="H45" i="5"/>
  <c r="J45" i="5"/>
  <c r="G46" i="5"/>
  <c r="H46" i="5"/>
  <c r="J46" i="5"/>
  <c r="G47" i="5"/>
  <c r="H47" i="5"/>
  <c r="J47" i="5"/>
  <c r="G48" i="5"/>
  <c r="H48" i="5"/>
  <c r="J48" i="5"/>
  <c r="G49" i="5"/>
  <c r="H49" i="5"/>
  <c r="J49" i="5"/>
  <c r="G50" i="5"/>
  <c r="H50" i="5"/>
  <c r="J50" i="5"/>
  <c r="G51" i="5"/>
  <c r="H51" i="5"/>
  <c r="J51" i="5"/>
  <c r="G52" i="5"/>
  <c r="H52" i="5"/>
  <c r="J52" i="5"/>
  <c r="G53" i="5"/>
  <c r="H53" i="5"/>
  <c r="J53" i="5"/>
  <c r="G54" i="5"/>
  <c r="H54" i="5"/>
  <c r="J54" i="5"/>
  <c r="G55" i="5"/>
  <c r="H55" i="5"/>
  <c r="J55" i="5"/>
  <c r="G56" i="5"/>
  <c r="H56" i="5"/>
  <c r="J56" i="5"/>
  <c r="G57" i="5"/>
  <c r="H57" i="5"/>
  <c r="J57" i="5"/>
  <c r="G58" i="5"/>
  <c r="H58" i="5"/>
  <c r="I58" i="5"/>
  <c r="J58" i="5"/>
  <c r="G59" i="5"/>
  <c r="H59" i="5"/>
  <c r="J59" i="5"/>
  <c r="G60" i="5"/>
  <c r="H60" i="5"/>
  <c r="J60" i="5"/>
  <c r="G61" i="5"/>
  <c r="H61" i="5"/>
  <c r="J61" i="5"/>
  <c r="G62" i="5"/>
  <c r="H62" i="5"/>
  <c r="J62" i="5"/>
  <c r="G63" i="5"/>
  <c r="H63" i="5"/>
  <c r="J63" i="5"/>
  <c r="G64" i="5"/>
  <c r="H64" i="5"/>
  <c r="J64" i="5"/>
  <c r="G65" i="5"/>
  <c r="H65" i="5"/>
  <c r="J65" i="5"/>
  <c r="G66" i="5"/>
  <c r="H66" i="5"/>
  <c r="J66" i="5"/>
  <c r="G67" i="5"/>
  <c r="H67" i="5"/>
  <c r="I67" i="5"/>
  <c r="J67" i="5"/>
  <c r="G68" i="5"/>
  <c r="H68" i="5"/>
  <c r="J68" i="5"/>
  <c r="G69" i="5"/>
  <c r="H69" i="5"/>
  <c r="J69" i="5"/>
  <c r="G70" i="5"/>
  <c r="H70" i="5"/>
  <c r="J70" i="5"/>
  <c r="G71" i="5"/>
  <c r="H71" i="5"/>
  <c r="J71" i="5"/>
  <c r="G72" i="5"/>
  <c r="H72" i="5"/>
  <c r="J72" i="5"/>
  <c r="G73" i="5"/>
  <c r="H73" i="5"/>
  <c r="J73" i="5"/>
  <c r="G74" i="5"/>
  <c r="H74" i="5"/>
  <c r="J74" i="5"/>
  <c r="G75" i="5"/>
  <c r="H75" i="5"/>
  <c r="J75" i="5"/>
  <c r="G76" i="5"/>
  <c r="H76" i="5"/>
  <c r="J76" i="5"/>
  <c r="G77" i="5"/>
  <c r="H77" i="5"/>
  <c r="J77" i="5"/>
  <c r="G78" i="5"/>
  <c r="H78" i="5"/>
  <c r="J78" i="5"/>
  <c r="G79" i="5"/>
  <c r="H79" i="5"/>
  <c r="J79" i="5"/>
  <c r="G80" i="5"/>
  <c r="H80" i="5"/>
  <c r="I80" i="5" s="1"/>
  <c r="J80" i="5"/>
  <c r="G81" i="5"/>
  <c r="H81" i="5"/>
  <c r="J81" i="5"/>
  <c r="G82" i="5"/>
  <c r="H82" i="5"/>
  <c r="J82" i="5"/>
  <c r="G83" i="5"/>
  <c r="H83" i="5"/>
  <c r="J83" i="5"/>
  <c r="G84" i="5"/>
  <c r="H84" i="5"/>
  <c r="J84" i="5"/>
  <c r="G85" i="5"/>
  <c r="H85" i="5"/>
  <c r="J85" i="5"/>
  <c r="G86" i="5"/>
  <c r="H86" i="5"/>
  <c r="J86" i="5"/>
  <c r="G87" i="5"/>
  <c r="H87" i="5"/>
  <c r="J87" i="5"/>
  <c r="G88" i="5"/>
  <c r="H88" i="5"/>
  <c r="I88" i="5" s="1"/>
  <c r="J88" i="5"/>
  <c r="G89" i="5"/>
  <c r="H89" i="5"/>
  <c r="J89" i="5"/>
  <c r="G90" i="5"/>
  <c r="H90" i="5"/>
  <c r="J90" i="5"/>
  <c r="G91" i="5"/>
  <c r="H91" i="5"/>
  <c r="J91" i="5"/>
  <c r="G92" i="5"/>
  <c r="H92" i="5"/>
  <c r="J92" i="5"/>
  <c r="G93" i="5"/>
  <c r="H93" i="5"/>
  <c r="I93" i="5" s="1"/>
  <c r="J93" i="5"/>
  <c r="G94" i="5"/>
  <c r="H94" i="5"/>
  <c r="J94" i="5"/>
  <c r="G95" i="5"/>
  <c r="H95" i="5"/>
  <c r="I95" i="5"/>
  <c r="J95" i="5"/>
  <c r="G96" i="5"/>
  <c r="H96" i="5"/>
  <c r="J96" i="5"/>
  <c r="G97" i="5"/>
  <c r="H97" i="5"/>
  <c r="J97" i="5"/>
  <c r="G98" i="5"/>
  <c r="H98" i="5"/>
  <c r="J98" i="5"/>
  <c r="G99" i="5"/>
  <c r="H99" i="5"/>
  <c r="I99" i="5" s="1"/>
  <c r="J99" i="5"/>
  <c r="G100" i="5"/>
  <c r="H100" i="5"/>
  <c r="J100" i="5"/>
  <c r="G101" i="5"/>
  <c r="H101" i="5"/>
  <c r="I101" i="5" s="1"/>
  <c r="J101" i="5"/>
  <c r="G102" i="5"/>
  <c r="H102" i="5"/>
  <c r="J102" i="5"/>
  <c r="G103" i="5"/>
  <c r="H103" i="5"/>
  <c r="J103" i="5"/>
  <c r="G104" i="5"/>
  <c r="H104" i="5"/>
  <c r="J104" i="5"/>
  <c r="G105" i="5"/>
  <c r="H105" i="5"/>
  <c r="I105" i="5"/>
  <c r="J105" i="5"/>
  <c r="G106" i="5"/>
  <c r="H106" i="5"/>
  <c r="J106" i="5"/>
  <c r="G107" i="5"/>
  <c r="H107" i="5"/>
  <c r="J107" i="5"/>
  <c r="G108" i="5"/>
  <c r="H108" i="5"/>
  <c r="J108" i="5"/>
  <c r="G109" i="5"/>
  <c r="H109" i="5"/>
  <c r="I109" i="5"/>
  <c r="J109" i="5"/>
  <c r="G110" i="5"/>
  <c r="H110" i="5"/>
  <c r="I110" i="5" s="1"/>
  <c r="J110" i="5"/>
  <c r="G111" i="5"/>
  <c r="H111" i="5"/>
  <c r="I111" i="5" s="1"/>
  <c r="J111" i="5"/>
  <c r="G112" i="5"/>
  <c r="H112" i="5"/>
  <c r="J112" i="5"/>
  <c r="G113" i="5"/>
  <c r="H113" i="5"/>
  <c r="I113" i="5" s="1"/>
  <c r="J113" i="5"/>
  <c r="G114" i="5"/>
  <c r="H114" i="5"/>
  <c r="I114" i="5" s="1"/>
  <c r="J114" i="5"/>
  <c r="G115" i="5"/>
  <c r="H115" i="5"/>
  <c r="J115" i="5"/>
  <c r="G116" i="5"/>
  <c r="H116" i="5"/>
  <c r="I116" i="5"/>
  <c r="J116" i="5"/>
  <c r="G117" i="5"/>
  <c r="H117" i="5"/>
  <c r="I117" i="5" s="1"/>
  <c r="J117" i="5"/>
  <c r="G118" i="5"/>
  <c r="H118" i="5"/>
  <c r="J118" i="5"/>
  <c r="G119" i="5"/>
  <c r="H119" i="5"/>
  <c r="I119" i="5" s="1"/>
  <c r="J119" i="5"/>
  <c r="G120" i="5"/>
  <c r="H120" i="5"/>
  <c r="I120" i="5" s="1"/>
  <c r="J120" i="5"/>
  <c r="G121" i="5"/>
  <c r="H121" i="5"/>
  <c r="I121" i="5"/>
  <c r="J121" i="5"/>
  <c r="G122" i="5"/>
  <c r="H122" i="5"/>
  <c r="J122" i="5"/>
  <c r="G123" i="5"/>
  <c r="H123" i="5"/>
  <c r="I123" i="5"/>
  <c r="J123" i="5"/>
  <c r="G124" i="5"/>
  <c r="H124" i="5"/>
  <c r="J124" i="5"/>
  <c r="G125" i="5"/>
  <c r="H125" i="5"/>
  <c r="J125" i="5"/>
  <c r="G126" i="5"/>
  <c r="H126" i="5"/>
  <c r="I126" i="5" s="1"/>
  <c r="J126" i="5"/>
  <c r="G127" i="5"/>
  <c r="H127" i="5"/>
  <c r="J127" i="5"/>
  <c r="G128" i="5"/>
  <c r="H128" i="5"/>
  <c r="J128" i="5"/>
  <c r="G129" i="5"/>
  <c r="H129" i="5"/>
  <c r="J129" i="5"/>
  <c r="G130" i="5"/>
  <c r="H130" i="5"/>
  <c r="J130" i="5"/>
  <c r="G131" i="5"/>
  <c r="H131" i="5"/>
  <c r="I131" i="5" s="1"/>
  <c r="J131" i="5"/>
  <c r="G132" i="5"/>
  <c r="H132" i="5"/>
  <c r="J132" i="5"/>
  <c r="G133" i="5"/>
  <c r="H133" i="5"/>
  <c r="J133" i="5"/>
  <c r="G134" i="5"/>
  <c r="H134" i="5"/>
  <c r="J134" i="5"/>
  <c r="G135" i="5"/>
  <c r="H135" i="5"/>
  <c r="I135" i="5" s="1"/>
  <c r="J135" i="5"/>
  <c r="G136" i="5"/>
  <c r="H136" i="5"/>
  <c r="J136" i="5"/>
  <c r="G137" i="5"/>
  <c r="H137" i="5"/>
  <c r="I137" i="5" s="1"/>
  <c r="J137" i="5"/>
  <c r="G138" i="5"/>
  <c r="H138" i="5"/>
  <c r="I138" i="5"/>
  <c r="J138" i="5"/>
  <c r="G139" i="5"/>
  <c r="H139" i="5"/>
  <c r="J139" i="5"/>
  <c r="G140" i="5"/>
  <c r="H140" i="5"/>
  <c r="I140" i="5"/>
  <c r="J140" i="5"/>
  <c r="G141" i="5"/>
  <c r="H141" i="5"/>
  <c r="I141" i="5" s="1"/>
  <c r="J141" i="5"/>
  <c r="G142" i="5"/>
  <c r="H142" i="5"/>
  <c r="I142" i="5"/>
  <c r="J142" i="5"/>
  <c r="G143" i="5"/>
  <c r="H143" i="5"/>
  <c r="J143" i="5"/>
  <c r="G144" i="5"/>
  <c r="H144" i="5"/>
  <c r="I144" i="5"/>
  <c r="J144" i="5"/>
  <c r="G145" i="5"/>
  <c r="H145" i="5"/>
  <c r="I145" i="5" s="1"/>
  <c r="J145" i="5"/>
  <c r="G146" i="5"/>
  <c r="H146" i="5"/>
  <c r="I146" i="5" s="1"/>
  <c r="J146" i="5"/>
  <c r="G147" i="5"/>
  <c r="H147" i="5"/>
  <c r="I147" i="5" s="1"/>
  <c r="J147" i="5"/>
  <c r="G148" i="5"/>
  <c r="H148" i="5"/>
  <c r="I148" i="5"/>
  <c r="J148" i="5"/>
  <c r="G149" i="5"/>
  <c r="H149" i="5"/>
  <c r="I149" i="5" s="1"/>
  <c r="J149" i="5"/>
  <c r="G150" i="5"/>
  <c r="H150" i="5"/>
  <c r="I150" i="5"/>
  <c r="J150" i="5"/>
  <c r="G151" i="5"/>
  <c r="H151" i="5"/>
  <c r="I151" i="5"/>
  <c r="J151" i="5"/>
  <c r="G152" i="5"/>
  <c r="H152" i="5"/>
  <c r="I152" i="5" s="1"/>
  <c r="J152" i="5"/>
  <c r="G153" i="5"/>
  <c r="H153" i="5"/>
  <c r="I153" i="5" s="1"/>
  <c r="J153" i="5"/>
  <c r="G154" i="5"/>
  <c r="H154" i="5"/>
  <c r="I154" i="5" s="1"/>
  <c r="J154" i="5"/>
  <c r="G155" i="5"/>
  <c r="H155" i="5"/>
  <c r="I155" i="5" s="1"/>
  <c r="J155" i="5"/>
  <c r="G156" i="5"/>
  <c r="H156" i="5"/>
  <c r="I156" i="5" s="1"/>
  <c r="J156" i="5"/>
  <c r="G157" i="5"/>
  <c r="H157" i="5"/>
  <c r="I157" i="5" s="1"/>
  <c r="J157" i="5"/>
  <c r="G158" i="5"/>
  <c r="H158" i="5"/>
  <c r="I158" i="5" s="1"/>
  <c r="J158" i="5"/>
  <c r="G159" i="5"/>
  <c r="H159" i="5"/>
  <c r="I159" i="5"/>
  <c r="J159" i="5"/>
  <c r="G160" i="5"/>
  <c r="H160" i="5"/>
  <c r="I160" i="5"/>
  <c r="J160" i="5"/>
  <c r="G161" i="5"/>
  <c r="H161" i="5"/>
  <c r="I161" i="5"/>
  <c r="J161" i="5"/>
  <c r="G162" i="5"/>
  <c r="H162" i="5"/>
  <c r="I162" i="5"/>
  <c r="J162" i="5"/>
  <c r="G163" i="5"/>
  <c r="H163" i="5"/>
  <c r="I163" i="5" s="1"/>
  <c r="J163" i="5"/>
  <c r="G164" i="5"/>
  <c r="H164" i="5"/>
  <c r="I164" i="5" s="1"/>
  <c r="J164" i="5"/>
  <c r="G165" i="5"/>
  <c r="H165" i="5"/>
  <c r="I165" i="5" s="1"/>
  <c r="L158" i="5" s="1"/>
  <c r="J165" i="5"/>
  <c r="G166" i="5"/>
  <c r="H166" i="5"/>
  <c r="I166" i="5"/>
  <c r="J166" i="5"/>
  <c r="G167" i="5"/>
  <c r="H167" i="5"/>
  <c r="I167" i="5" s="1"/>
  <c r="J167" i="5"/>
  <c r="G168" i="5"/>
  <c r="H168" i="5"/>
  <c r="I168" i="5"/>
  <c r="J168" i="5"/>
  <c r="G169" i="5"/>
  <c r="I169" i="5" s="1"/>
  <c r="H169" i="5"/>
  <c r="J169" i="5"/>
  <c r="G170" i="5"/>
  <c r="H170" i="5"/>
  <c r="J170" i="5"/>
  <c r="G171" i="5"/>
  <c r="H171" i="5"/>
  <c r="I171" i="5"/>
  <c r="J171" i="5"/>
  <c r="G172" i="5"/>
  <c r="H172" i="5"/>
  <c r="I172" i="5" s="1"/>
  <c r="J172" i="5"/>
  <c r="G173" i="5"/>
  <c r="H173" i="5"/>
  <c r="I173" i="5" s="1"/>
  <c r="J173" i="5"/>
  <c r="G174" i="5"/>
  <c r="H174" i="5"/>
  <c r="I174" i="5" s="1"/>
  <c r="J174" i="5"/>
  <c r="G175" i="5"/>
  <c r="H175" i="5"/>
  <c r="I175" i="5"/>
  <c r="J175" i="5"/>
  <c r="G176" i="5"/>
  <c r="H176" i="5"/>
  <c r="J176" i="5"/>
  <c r="G177" i="5"/>
  <c r="H177" i="5"/>
  <c r="I177" i="5" s="1"/>
  <c r="J177" i="5"/>
  <c r="G178" i="5"/>
  <c r="H178" i="5"/>
  <c r="I178" i="5"/>
  <c r="J178" i="5"/>
  <c r="G179" i="5"/>
  <c r="H179" i="5"/>
  <c r="I179" i="5" s="1"/>
  <c r="J179" i="5"/>
  <c r="G180" i="5"/>
  <c r="H180" i="5"/>
  <c r="I180" i="5" s="1"/>
  <c r="J180" i="5"/>
  <c r="G181" i="5"/>
  <c r="H181" i="5"/>
  <c r="I181" i="5" s="1"/>
  <c r="J181" i="5"/>
  <c r="G182" i="5"/>
  <c r="H182" i="5"/>
  <c r="J182" i="5"/>
  <c r="G183" i="5"/>
  <c r="H183" i="5"/>
  <c r="I183" i="5"/>
  <c r="J183" i="5"/>
  <c r="G184" i="5"/>
  <c r="H184" i="5"/>
  <c r="I184" i="5" s="1"/>
  <c r="J184" i="5"/>
  <c r="G185" i="5"/>
  <c r="H185" i="5"/>
  <c r="I185" i="5" s="1"/>
  <c r="J185" i="5"/>
  <c r="G186" i="5"/>
  <c r="H186" i="5"/>
  <c r="J186" i="5"/>
  <c r="G187" i="5"/>
  <c r="H187" i="5"/>
  <c r="I187" i="5" s="1"/>
  <c r="J187" i="5"/>
  <c r="G188" i="5"/>
  <c r="H188" i="5"/>
  <c r="I188" i="5"/>
  <c r="J188" i="5"/>
  <c r="G189" i="5"/>
  <c r="H189" i="5"/>
  <c r="I189" i="5" s="1"/>
  <c r="J189" i="5"/>
  <c r="G190" i="5"/>
  <c r="H190" i="5"/>
  <c r="I190" i="5" s="1"/>
  <c r="J190" i="5"/>
  <c r="G191" i="5"/>
  <c r="H191" i="5"/>
  <c r="I191" i="5" s="1"/>
  <c r="J191" i="5"/>
  <c r="G192" i="5"/>
  <c r="H192" i="5"/>
  <c r="I192" i="5" s="1"/>
  <c r="J192" i="5"/>
  <c r="G193" i="5"/>
  <c r="H193" i="5"/>
  <c r="I193" i="5"/>
  <c r="J193" i="5"/>
  <c r="G194" i="5"/>
  <c r="H194" i="5"/>
  <c r="I194" i="5"/>
  <c r="J194" i="5"/>
  <c r="G195" i="5"/>
  <c r="H195" i="5"/>
  <c r="I195" i="5" s="1"/>
  <c r="J195" i="5"/>
  <c r="G196" i="5"/>
  <c r="H196" i="5"/>
  <c r="I196" i="5" s="1"/>
  <c r="J196" i="5"/>
  <c r="G197" i="5"/>
  <c r="H197" i="5"/>
  <c r="I197" i="5" s="1"/>
  <c r="J197" i="5"/>
  <c r="G198" i="5"/>
  <c r="H198" i="5"/>
  <c r="J198" i="5"/>
  <c r="G199" i="5"/>
  <c r="H199" i="5"/>
  <c r="I199" i="5"/>
  <c r="J199" i="5"/>
  <c r="G200" i="5"/>
  <c r="H200" i="5"/>
  <c r="I200" i="5"/>
  <c r="J200" i="5"/>
  <c r="G201" i="5"/>
  <c r="H201" i="5"/>
  <c r="I201" i="5"/>
  <c r="J201" i="5"/>
  <c r="G202" i="5"/>
  <c r="H202" i="5"/>
  <c r="I202" i="5"/>
  <c r="J202" i="5"/>
  <c r="G203" i="5"/>
  <c r="H203" i="5"/>
  <c r="I203" i="5"/>
  <c r="J203" i="5"/>
  <c r="G204" i="5"/>
  <c r="H204" i="5"/>
  <c r="I204" i="5"/>
  <c r="J204" i="5"/>
  <c r="G205" i="5"/>
  <c r="H205" i="5"/>
  <c r="I205" i="5"/>
  <c r="J205" i="5"/>
  <c r="G206" i="5"/>
  <c r="H206" i="5"/>
  <c r="I206" i="5"/>
  <c r="J206" i="5"/>
  <c r="G207" i="5"/>
  <c r="H207" i="5"/>
  <c r="I207" i="5"/>
  <c r="J207" i="5"/>
  <c r="G208" i="5"/>
  <c r="H208" i="5"/>
  <c r="I208" i="5"/>
  <c r="J208" i="5"/>
  <c r="G209" i="5"/>
  <c r="H209" i="5"/>
  <c r="I209" i="5"/>
  <c r="J209" i="5"/>
  <c r="G210" i="5"/>
  <c r="H210" i="5"/>
  <c r="I210" i="5"/>
  <c r="J210" i="5"/>
  <c r="G211" i="5"/>
  <c r="H211" i="5"/>
  <c r="I211" i="5"/>
  <c r="J211" i="5"/>
  <c r="G212" i="5"/>
  <c r="H212" i="5"/>
  <c r="I212" i="5"/>
  <c r="J212" i="5"/>
  <c r="G213" i="5"/>
  <c r="H213" i="5"/>
  <c r="I213" i="5"/>
  <c r="J213" i="5"/>
  <c r="G214" i="5"/>
  <c r="H214" i="5"/>
  <c r="I214" i="5"/>
  <c r="J214" i="5"/>
  <c r="G215" i="5"/>
  <c r="H215" i="5"/>
  <c r="I215" i="5"/>
  <c r="J215" i="5"/>
  <c r="G216" i="5"/>
  <c r="H216" i="5"/>
  <c r="I216" i="5"/>
  <c r="J216" i="5"/>
  <c r="G217" i="5"/>
  <c r="H217" i="5"/>
  <c r="I217" i="5"/>
  <c r="J217" i="5"/>
  <c r="G218" i="5"/>
  <c r="H218" i="5"/>
  <c r="I218" i="5"/>
  <c r="J218" i="5"/>
  <c r="G219" i="5"/>
  <c r="H219" i="5"/>
  <c r="I219" i="5"/>
  <c r="J219" i="5"/>
  <c r="G220" i="5"/>
  <c r="H220" i="5"/>
  <c r="I220" i="5"/>
  <c r="J220" i="5"/>
  <c r="G221" i="5"/>
  <c r="H221" i="5"/>
  <c r="I221" i="5"/>
  <c r="J221" i="5"/>
  <c r="G222" i="5"/>
  <c r="H222" i="5"/>
  <c r="I222" i="5"/>
  <c r="J222" i="5"/>
  <c r="G223" i="5"/>
  <c r="H223" i="5"/>
  <c r="I223" i="5"/>
  <c r="J223" i="5"/>
  <c r="G224" i="5"/>
  <c r="H224" i="5"/>
  <c r="I224" i="5"/>
  <c r="J224" i="5"/>
  <c r="G225" i="5"/>
  <c r="H225" i="5"/>
  <c r="I225" i="5"/>
  <c r="J225" i="5"/>
  <c r="G226" i="5"/>
  <c r="H226" i="5"/>
  <c r="I226" i="5"/>
  <c r="J226" i="5"/>
  <c r="G227" i="5"/>
  <c r="H227" i="5"/>
  <c r="I227" i="5"/>
  <c r="J227" i="5"/>
  <c r="G228" i="5"/>
  <c r="H228" i="5"/>
  <c r="I228" i="5"/>
  <c r="J228" i="5"/>
  <c r="G229" i="5"/>
  <c r="H229" i="5"/>
  <c r="I229" i="5"/>
  <c r="J229" i="5"/>
  <c r="G230" i="5"/>
  <c r="H230" i="5"/>
  <c r="I230" i="5"/>
  <c r="J230" i="5"/>
  <c r="G231" i="5"/>
  <c r="H231" i="5"/>
  <c r="I231" i="5"/>
  <c r="J231" i="5"/>
  <c r="G232" i="5"/>
  <c r="H232" i="5"/>
  <c r="I232" i="5"/>
  <c r="J232" i="5"/>
  <c r="G233" i="5"/>
  <c r="H233" i="5"/>
  <c r="I233" i="5"/>
  <c r="J233" i="5"/>
  <c r="G234" i="5"/>
  <c r="H234" i="5"/>
  <c r="I234" i="5"/>
  <c r="J234" i="5"/>
  <c r="G235" i="5"/>
  <c r="H235" i="5"/>
  <c r="I235" i="5"/>
  <c r="J235" i="5"/>
  <c r="G236" i="5"/>
  <c r="H236" i="5"/>
  <c r="I236" i="5"/>
  <c r="J236" i="5"/>
  <c r="G237" i="5"/>
  <c r="H237" i="5"/>
  <c r="I237" i="5"/>
  <c r="J237" i="5"/>
  <c r="G238" i="5"/>
  <c r="H238" i="5"/>
  <c r="I238" i="5"/>
  <c r="J238" i="5"/>
  <c r="G239" i="5"/>
  <c r="H239" i="5"/>
  <c r="I239" i="5"/>
  <c r="J239" i="5"/>
  <c r="G240" i="5"/>
  <c r="H240" i="5"/>
  <c r="I240" i="5"/>
  <c r="J240" i="5"/>
  <c r="G241" i="5"/>
  <c r="H241" i="5"/>
  <c r="I241" i="5"/>
  <c r="J241" i="5"/>
  <c r="G242" i="5"/>
  <c r="H242" i="5"/>
  <c r="I242" i="5"/>
  <c r="J242" i="5"/>
  <c r="G243" i="5"/>
  <c r="H243" i="5"/>
  <c r="I243" i="5"/>
  <c r="J243" i="5"/>
  <c r="G244" i="5"/>
  <c r="H244" i="5"/>
  <c r="I244" i="5"/>
  <c r="J244" i="5"/>
  <c r="G245" i="5"/>
  <c r="H245" i="5"/>
  <c r="I245" i="5"/>
  <c r="J245" i="5"/>
  <c r="G246" i="5"/>
  <c r="H246" i="5"/>
  <c r="I246" i="5"/>
  <c r="J246" i="5"/>
  <c r="G247" i="5"/>
  <c r="H247" i="5"/>
  <c r="I247" i="5"/>
  <c r="J247" i="5"/>
  <c r="G248" i="5"/>
  <c r="H248" i="5"/>
  <c r="I248" i="5"/>
  <c r="J248" i="5"/>
  <c r="G249" i="5"/>
  <c r="H249" i="5"/>
  <c r="I249" i="5"/>
  <c r="J249" i="5"/>
  <c r="I198" i="5" l="1"/>
  <c r="I186" i="5"/>
  <c r="I182" i="5"/>
  <c r="I176" i="5"/>
  <c r="I170" i="5"/>
  <c r="L142" i="5"/>
  <c r="L146" i="5"/>
  <c r="I143" i="5"/>
  <c r="I100" i="5"/>
  <c r="I102" i="5"/>
  <c r="I73" i="5"/>
  <c r="I129" i="5"/>
  <c r="I134" i="5"/>
  <c r="L131" i="5" s="1"/>
  <c r="I136" i="5"/>
  <c r="I85" i="5"/>
  <c r="I130" i="5"/>
  <c r="I125" i="5"/>
  <c r="I118" i="5"/>
  <c r="I132" i="5"/>
  <c r="I127" i="5"/>
  <c r="I122" i="5"/>
  <c r="I115" i="5"/>
  <c r="I103" i="5"/>
  <c r="I90" i="5"/>
  <c r="I112" i="5"/>
  <c r="I97" i="5"/>
  <c r="I92" i="5"/>
  <c r="I133" i="5"/>
  <c r="I128" i="5"/>
  <c r="I104" i="5"/>
  <c r="I91" i="5"/>
  <c r="I108" i="5"/>
  <c r="I83" i="5"/>
  <c r="L137" i="5"/>
  <c r="I98" i="5"/>
  <c r="I64" i="5"/>
  <c r="I124" i="5"/>
  <c r="L119" i="5" s="1"/>
  <c r="I107" i="5"/>
  <c r="I106" i="5"/>
  <c r="I96" i="5"/>
  <c r="I94" i="5"/>
  <c r="I89" i="5"/>
  <c r="I84" i="5"/>
  <c r="I79" i="5"/>
  <c r="I82" i="5"/>
  <c r="I78" i="5"/>
  <c r="I40" i="5"/>
  <c r="I86" i="5"/>
  <c r="I81" i="5"/>
  <c r="I76" i="5"/>
  <c r="I63" i="5"/>
  <c r="I87" i="5"/>
  <c r="I77" i="5"/>
  <c r="I69" i="5"/>
  <c r="I71" i="5"/>
  <c r="I72" i="5"/>
  <c r="I36" i="5"/>
  <c r="I48" i="5"/>
  <c r="I57" i="5"/>
  <c r="I39" i="5"/>
  <c r="I56" i="5"/>
  <c r="I33" i="5"/>
  <c r="I70" i="5"/>
  <c r="I55" i="5"/>
  <c r="I42" i="5"/>
  <c r="I62" i="5"/>
  <c r="I54" i="5"/>
  <c r="I31" i="5"/>
  <c r="I74" i="5"/>
  <c r="I65" i="5"/>
  <c r="I60" i="5"/>
  <c r="I50" i="5"/>
  <c r="I45" i="5"/>
  <c r="I52" i="5"/>
  <c r="I37" i="5"/>
  <c r="I32" i="5"/>
  <c r="I75" i="5"/>
  <c r="I66" i="5"/>
  <c r="I61" i="5"/>
  <c r="I59" i="5"/>
  <c r="I53" i="5"/>
  <c r="I68" i="5"/>
  <c r="I47" i="5"/>
  <c r="I51" i="5"/>
  <c r="I46" i="5"/>
  <c r="I41" i="5"/>
  <c r="I49" i="5"/>
  <c r="I34" i="5"/>
  <c r="I44" i="5"/>
  <c r="I43" i="5"/>
  <c r="I35" i="5"/>
  <c r="I30" i="5"/>
  <c r="G7" i="5"/>
  <c r="H7" i="5"/>
  <c r="I7" i="5"/>
  <c r="J7" i="5"/>
  <c r="L126" i="5" l="1"/>
  <c r="H9" i="5"/>
  <c r="H6" i="5" l="1"/>
  <c r="J6" i="5"/>
  <c r="G6" i="5"/>
  <c r="I6" i="5" l="1"/>
  <c r="H2" i="3"/>
  <c r="I65" i="6" l="1"/>
  <c r="H65" i="6"/>
  <c r="G65" i="6"/>
  <c r="F65" i="6"/>
  <c r="I64" i="6"/>
  <c r="H64" i="6"/>
  <c r="G64" i="6"/>
  <c r="F64" i="6"/>
  <c r="I63" i="6"/>
  <c r="H63" i="6"/>
  <c r="G63" i="6"/>
  <c r="F63" i="6"/>
  <c r="I62" i="6"/>
  <c r="H62" i="6"/>
  <c r="G62" i="6"/>
  <c r="F62" i="6"/>
  <c r="I61" i="6"/>
  <c r="H61" i="6"/>
  <c r="G61" i="6"/>
  <c r="F61" i="6"/>
  <c r="I60" i="6"/>
  <c r="H60" i="6"/>
  <c r="G60" i="6"/>
  <c r="F60" i="6"/>
  <c r="I59" i="6"/>
  <c r="H59" i="6"/>
  <c r="G59" i="6"/>
  <c r="F59" i="6"/>
  <c r="I58" i="6"/>
  <c r="H58" i="6"/>
  <c r="G58" i="6"/>
  <c r="F58" i="6"/>
  <c r="I57" i="6"/>
  <c r="H57" i="6"/>
  <c r="G57" i="6"/>
  <c r="F57" i="6"/>
  <c r="I56" i="6"/>
  <c r="H56" i="6"/>
  <c r="G56" i="6"/>
  <c r="F56" i="6"/>
  <c r="I55" i="6"/>
  <c r="H55" i="6"/>
  <c r="G55" i="6"/>
  <c r="F55" i="6"/>
  <c r="I54" i="6"/>
  <c r="H54" i="6"/>
  <c r="G54" i="6"/>
  <c r="F54" i="6"/>
  <c r="I53" i="6"/>
  <c r="H53" i="6"/>
  <c r="G53" i="6"/>
  <c r="F53" i="6"/>
  <c r="I52" i="6"/>
  <c r="H52" i="6"/>
  <c r="G52" i="6"/>
  <c r="F52" i="6"/>
  <c r="I51" i="6"/>
  <c r="H51" i="6"/>
  <c r="G51" i="6"/>
  <c r="F51" i="6"/>
  <c r="I50" i="6"/>
  <c r="H50" i="6"/>
  <c r="G50" i="6"/>
  <c r="F50" i="6"/>
  <c r="I49" i="6"/>
  <c r="H49" i="6"/>
  <c r="G49" i="6"/>
  <c r="F49" i="6"/>
  <c r="I48" i="6"/>
  <c r="H48" i="6"/>
  <c r="G48" i="6"/>
  <c r="F48" i="6"/>
  <c r="I47" i="6"/>
  <c r="H47" i="6"/>
  <c r="G47" i="6"/>
  <c r="F47" i="6"/>
  <c r="I46" i="6"/>
  <c r="H46" i="6"/>
  <c r="G46" i="6"/>
  <c r="F46" i="6"/>
  <c r="I45" i="6"/>
  <c r="H45" i="6"/>
  <c r="G45" i="6"/>
  <c r="F45" i="6"/>
  <c r="I44" i="6"/>
  <c r="H44" i="6"/>
  <c r="G44" i="6"/>
  <c r="F44" i="6"/>
  <c r="I43" i="6"/>
  <c r="H43" i="6"/>
  <c r="G43" i="6"/>
  <c r="F43" i="6"/>
  <c r="I42" i="6"/>
  <c r="H42" i="6"/>
  <c r="G42" i="6"/>
  <c r="F42" i="6"/>
  <c r="I41" i="6"/>
  <c r="H41" i="6"/>
  <c r="G41" i="6"/>
  <c r="F41" i="6"/>
  <c r="I40" i="6"/>
  <c r="H40" i="6"/>
  <c r="G40" i="6"/>
  <c r="F40" i="6"/>
  <c r="I39" i="6"/>
  <c r="H39" i="6"/>
  <c r="G39" i="6"/>
  <c r="F39" i="6"/>
  <c r="I38" i="6"/>
  <c r="H38" i="6"/>
  <c r="G38" i="6"/>
  <c r="F38" i="6"/>
  <c r="I37" i="6"/>
  <c r="H37" i="6"/>
  <c r="G37" i="6"/>
  <c r="F37" i="6"/>
  <c r="I36" i="6"/>
  <c r="H36" i="6"/>
  <c r="G36" i="6"/>
  <c r="F36" i="6"/>
  <c r="I35" i="6"/>
  <c r="H35" i="6"/>
  <c r="G35" i="6"/>
  <c r="F35" i="6"/>
  <c r="I34" i="6"/>
  <c r="H34" i="6"/>
  <c r="G34" i="6"/>
  <c r="F34" i="6"/>
  <c r="I33" i="6"/>
  <c r="H33" i="6"/>
  <c r="G33" i="6"/>
  <c r="F33" i="6"/>
  <c r="I32" i="6"/>
  <c r="H32" i="6"/>
  <c r="G32" i="6"/>
  <c r="F32" i="6"/>
  <c r="I31" i="6"/>
  <c r="H31" i="6"/>
  <c r="G31" i="6"/>
  <c r="F31" i="6"/>
  <c r="I30" i="6"/>
  <c r="H30" i="6"/>
  <c r="G30" i="6"/>
  <c r="F30" i="6"/>
  <c r="I29" i="6"/>
  <c r="H29" i="6"/>
  <c r="G29" i="6"/>
  <c r="F29" i="6"/>
  <c r="I28" i="6"/>
  <c r="H28" i="6"/>
  <c r="G28" i="6"/>
  <c r="F28" i="6"/>
  <c r="I27" i="6"/>
  <c r="H27" i="6"/>
  <c r="G27" i="6"/>
  <c r="F27" i="6"/>
  <c r="I26" i="6"/>
  <c r="H26" i="6"/>
  <c r="G26" i="6"/>
  <c r="F26" i="6"/>
  <c r="I25" i="6"/>
  <c r="H25" i="6"/>
  <c r="G25" i="6"/>
  <c r="F25" i="6"/>
  <c r="I24" i="6"/>
  <c r="H24" i="6"/>
  <c r="G24" i="6"/>
  <c r="F24" i="6"/>
  <c r="I23" i="6"/>
  <c r="H23" i="6"/>
  <c r="G23" i="6"/>
  <c r="F23" i="6"/>
  <c r="I22" i="6"/>
  <c r="H22" i="6"/>
  <c r="G22" i="6"/>
  <c r="F22" i="6"/>
  <c r="I21" i="6"/>
  <c r="H21" i="6"/>
  <c r="G21" i="6"/>
  <c r="F21" i="6"/>
  <c r="I20" i="6"/>
  <c r="H20" i="6"/>
  <c r="G20" i="6"/>
  <c r="F20" i="6"/>
  <c r="I19" i="6"/>
  <c r="H19" i="6"/>
  <c r="G19" i="6"/>
  <c r="F19" i="6"/>
  <c r="I18" i="6"/>
  <c r="H18" i="6"/>
  <c r="G18" i="6"/>
  <c r="F18" i="6"/>
  <c r="I17" i="6"/>
  <c r="H17" i="6"/>
  <c r="G17" i="6"/>
  <c r="F17" i="6"/>
  <c r="I16" i="6"/>
  <c r="H16" i="6"/>
  <c r="G16" i="6"/>
  <c r="F16" i="6"/>
  <c r="I15" i="6"/>
  <c r="H15" i="6"/>
  <c r="G15" i="6"/>
  <c r="F15" i="6"/>
  <c r="I14" i="6"/>
  <c r="H14" i="6"/>
  <c r="G14" i="6"/>
  <c r="F14" i="6"/>
  <c r="I13" i="6"/>
  <c r="H13" i="6"/>
  <c r="G13" i="6"/>
  <c r="F13" i="6"/>
  <c r="I12" i="6"/>
  <c r="H12" i="6"/>
  <c r="G12" i="6"/>
  <c r="F12" i="6"/>
  <c r="I11" i="6"/>
  <c r="H11" i="6"/>
  <c r="G11" i="6"/>
  <c r="F11" i="6"/>
  <c r="I10" i="6"/>
  <c r="H10" i="6"/>
  <c r="G10" i="6"/>
  <c r="F10" i="6"/>
  <c r="I9" i="6"/>
  <c r="H9" i="6"/>
  <c r="G9" i="6"/>
  <c r="F9" i="6"/>
  <c r="I8" i="6"/>
  <c r="G8" i="6"/>
  <c r="H8" i="6" s="1"/>
  <c r="F8" i="6"/>
  <c r="I7" i="6"/>
  <c r="G7" i="6"/>
  <c r="F7" i="6"/>
  <c r="I6" i="6"/>
  <c r="G6" i="6"/>
  <c r="H6" i="6" s="1"/>
  <c r="F6" i="6"/>
  <c r="I5" i="6"/>
  <c r="G5" i="6"/>
  <c r="F5" i="6"/>
  <c r="I4" i="6"/>
  <c r="G4" i="6"/>
  <c r="H4" i="6" s="1"/>
  <c r="F4" i="6"/>
  <c r="I3" i="6"/>
  <c r="G3" i="6"/>
  <c r="H3" i="6" s="1"/>
  <c r="F3" i="6"/>
  <c r="H7" i="6" l="1"/>
  <c r="H5" i="6"/>
  <c r="H1" i="6" s="1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I11" i="5"/>
  <c r="H8" i="5"/>
  <c r="H10" i="5"/>
  <c r="H11" i="5"/>
  <c r="H12" i="5"/>
  <c r="I12" i="5" s="1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I27" i="5" l="1"/>
  <c r="I26" i="5"/>
  <c r="I25" i="5"/>
  <c r="I28" i="5"/>
  <c r="I29" i="5"/>
  <c r="I24" i="5"/>
  <c r="I13" i="5"/>
  <c r="I23" i="5"/>
  <c r="I22" i="5"/>
  <c r="I21" i="5"/>
  <c r="I17" i="5"/>
  <c r="I16" i="5"/>
  <c r="I18" i="5"/>
  <c r="I15" i="5"/>
  <c r="I20" i="5"/>
  <c r="I14" i="5"/>
  <c r="I19" i="5"/>
  <c r="I10" i="5"/>
  <c r="I8" i="5"/>
  <c r="I9" i="5"/>
  <c r="I4" i="5" l="1"/>
  <c r="L13" i="5"/>
  <c r="N4" i="3"/>
  <c r="M3" i="3"/>
  <c r="N3" i="3"/>
  <c r="O3" i="3"/>
  <c r="M4" i="3"/>
  <c r="O4" i="3"/>
  <c r="O2" i="3"/>
  <c r="N2" i="3"/>
  <c r="F2" i="3"/>
  <c r="M2" i="3"/>
  <c r="F4" i="3" l="1"/>
  <c r="F3" i="3"/>
  <c r="H4" i="3" l="1"/>
  <c r="K4" i="3" s="1"/>
  <c r="H3" i="3"/>
  <c r="I4" i="3"/>
  <c r="G4" i="3"/>
  <c r="J4" i="3"/>
  <c r="J3" i="3" l="1"/>
  <c r="K3" i="3"/>
  <c r="G3" i="3"/>
  <c r="I3" i="3"/>
  <c r="K2" i="3" l="1"/>
  <c r="G2" i="3" l="1"/>
  <c r="J2" i="3"/>
  <c r="I2" i="3"/>
</calcChain>
</file>

<file path=xl/sharedStrings.xml><?xml version="1.0" encoding="utf-8"?>
<sst xmlns="http://schemas.openxmlformats.org/spreadsheetml/2006/main" count="306" uniqueCount="60">
  <si>
    <t>Buy Cost</t>
  </si>
  <si>
    <t>Sell Cost</t>
  </si>
  <si>
    <t>Profit</t>
  </si>
  <si>
    <t>Commission</t>
  </si>
  <si>
    <t>Symbol</t>
  </si>
  <si>
    <t>Qty.</t>
  </si>
  <si>
    <t>Buy Price</t>
  </si>
  <si>
    <t>Sell Price</t>
  </si>
  <si>
    <t>Date</t>
  </si>
  <si>
    <t>HGU</t>
  </si>
  <si>
    <t>Diff Rate</t>
  </si>
  <si>
    <t>FCEL</t>
  </si>
  <si>
    <t>Rate</t>
  </si>
  <si>
    <t>Holiday</t>
  </si>
  <si>
    <t>Total Days</t>
  </si>
  <si>
    <t>Weekend Days</t>
  </si>
  <si>
    <t>Working Days</t>
  </si>
  <si>
    <t>Working Hr.</t>
  </si>
  <si>
    <t>Monthly</t>
  </si>
  <si>
    <t>BGMD</t>
  </si>
  <si>
    <t>6 Months</t>
  </si>
  <si>
    <t>3 Months</t>
  </si>
  <si>
    <t>1 Year</t>
  </si>
  <si>
    <t>407 expense(1 Year)</t>
  </si>
  <si>
    <t>407 expense(6 Year)</t>
  </si>
  <si>
    <t>407 expense(3 Year)</t>
  </si>
  <si>
    <t>4 Month</t>
  </si>
  <si>
    <t>Diff</t>
  </si>
  <si>
    <t>HNU</t>
  </si>
  <si>
    <t>HOU</t>
  </si>
  <si>
    <t>HND</t>
  </si>
  <si>
    <t>Source</t>
  </si>
  <si>
    <t>BNS</t>
  </si>
  <si>
    <t>BNS-TFSA</t>
  </si>
  <si>
    <t>TD-TFSA</t>
  </si>
  <si>
    <t>JNUG</t>
  </si>
  <si>
    <t>JMUG</t>
  </si>
  <si>
    <t>NHD</t>
  </si>
  <si>
    <t>IMG</t>
  </si>
  <si>
    <t>BLDP - BNSTFSA</t>
  </si>
  <si>
    <t>Free BNSUS</t>
  </si>
  <si>
    <t>Gevo - BNS US</t>
  </si>
  <si>
    <t>IAG</t>
  </si>
  <si>
    <t>UGAZ</t>
  </si>
  <si>
    <t>GEVO</t>
  </si>
  <si>
    <t>UWTI</t>
  </si>
  <si>
    <t>Daily Progress</t>
  </si>
  <si>
    <t>Qty</t>
  </si>
  <si>
    <t>Price</t>
  </si>
  <si>
    <t>Cost</t>
  </si>
  <si>
    <t>Total Cost</t>
  </si>
  <si>
    <t>Avg. Price</t>
  </si>
  <si>
    <t>AccoutType</t>
  </si>
  <si>
    <t>F/X</t>
  </si>
  <si>
    <t>Cover</t>
  </si>
  <si>
    <t>BNS-CAN</t>
  </si>
  <si>
    <t>BNS-US</t>
  </si>
  <si>
    <t>Sell on 30-Jan</t>
  </si>
  <si>
    <t>sell</t>
  </si>
  <si>
    <t>buy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</si>
</sst>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4" formatCode="_(&quot;$&quot;* #,##0.00_);_(&quot;$&quot;* \(#,##0.00\);_(&quot;$&quot;* &quot;-&quot;??_);_(@_)"/>
    <numFmt numFmtId="164" formatCode="_(&quot;$&quot;* #,##0.0000_);_(&quot;$&quot;* \(#,##0.0000\);_(&quot;$&quot;* &quot;-&quot;??_);_(@_)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rgb="FF00B05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89">
    <xf numFmtId="0" fontId="0" fillId="0" borderId="0" xfId="0"/>
    <xf numFmtId="44" fontId="0" fillId="0" borderId="0" xfId="1" applyFont="1"/>
    <xf numFmtId="44" fontId="0" fillId="0" borderId="0" xfId="0" applyNumberFormat="1"/>
    <xf numFmtId="16" fontId="0" fillId="0" borderId="0" xfId="0" applyNumberFormat="1"/>
    <xf numFmtId="0" fontId="2" fillId="2" borderId="0" xfId="0" applyFont="1" applyFill="1" applyBorder="1" applyAlignment="1">
      <alignment horizontal="left"/>
    </xf>
    <xf numFmtId="44" fontId="2" fillId="2" borderId="0" xfId="1" applyFont="1" applyFill="1" applyBorder="1" applyAlignment="1">
      <alignment horizontal="left"/>
    </xf>
    <xf numFmtId="16" fontId="0" fillId="0" borderId="0" xfId="0" applyNumberFormat="1" applyFill="1"/>
    <xf numFmtId="0" fontId="0" fillId="0" borderId="0" xfId="0" applyFill="1"/>
    <xf numFmtId="44" fontId="0" fillId="0" borderId="0" xfId="0" applyNumberFormat="1" applyFill="1"/>
    <xf numFmtId="0" fontId="2" fillId="0" borderId="0" xfId="0" applyFont="1"/>
    <xf numFmtId="164" fontId="0" fillId="0" borderId="0" xfId="1" applyNumberFormat="1" applyFont="1"/>
    <xf numFmtId="0" fontId="2" fillId="2" borderId="1" xfId="0" applyFont="1" applyFill="1" applyBorder="1" applyAlignment="1">
      <alignment horizontal="left"/>
    </xf>
    <xf numFmtId="44" fontId="2" fillId="2" borderId="1" xfId="1" applyFont="1" applyFill="1" applyBorder="1" applyAlignment="1">
      <alignment horizontal="left"/>
    </xf>
    <xf numFmtId="44" fontId="0" fillId="2" borderId="1" xfId="0" applyNumberFormat="1" applyFill="1" applyBorder="1"/>
    <xf numFmtId="44" fontId="0" fillId="2" borderId="1" xfId="1" applyFont="1" applyFill="1" applyBorder="1"/>
    <xf numFmtId="44" fontId="0" fillId="0" borderId="1" xfId="0" applyNumberFormat="1" applyFill="1" applyBorder="1"/>
    <xf numFmtId="44" fontId="0" fillId="0" borderId="1" xfId="1" applyFont="1" applyFill="1" applyBorder="1"/>
    <xf numFmtId="44" fontId="2" fillId="0" borderId="0" xfId="1" applyFont="1"/>
    <xf numFmtId="2" fontId="0" fillId="0" borderId="0" xfId="0" applyNumberFormat="1"/>
    <xf numFmtId="2" fontId="2" fillId="0" borderId="0" xfId="0" applyNumberFormat="1" applyFont="1"/>
    <xf numFmtId="44" fontId="0" fillId="0" borderId="0" xfId="1" applyFont="1" applyFill="1"/>
    <xf numFmtId="44" fontId="3" fillId="2" borderId="1" xfId="1" applyFont="1" applyFill="1" applyBorder="1"/>
    <xf numFmtId="16" fontId="0" fillId="0" borderId="2" xfId="0" applyNumberFormat="1" applyBorder="1"/>
    <xf numFmtId="44" fontId="0" fillId="0" borderId="2" xfId="1" applyFont="1" applyBorder="1"/>
    <xf numFmtId="44" fontId="0" fillId="0" borderId="2" xfId="0" applyNumberFormat="1" applyBorder="1"/>
    <xf numFmtId="44" fontId="0" fillId="0" borderId="2" xfId="0" applyNumberFormat="1" applyFill="1" applyBorder="1"/>
    <xf numFmtId="44" fontId="0" fillId="3" borderId="0" xfId="0" applyNumberFormat="1" applyFill="1"/>
    <xf numFmtId="16" fontId="0" fillId="3" borderId="0" xfId="0" applyNumberFormat="1" applyFill="1"/>
    <xf numFmtId="44" fontId="0" fillId="3" borderId="0" xfId="1" applyFont="1" applyFill="1"/>
    <xf numFmtId="0" fontId="0" fillId="3" borderId="0" xfId="0" applyFill="1"/>
    <xf numFmtId="16" fontId="6" fillId="3" borderId="0" xfId="0" applyNumberFormat="1" applyFont="1" applyFill="1"/>
    <xf numFmtId="44" fontId="6" fillId="3" borderId="0" xfId="1" applyFont="1" applyFill="1"/>
    <xf numFmtId="44" fontId="6" fillId="3" borderId="0" xfId="0" applyNumberFormat="1" applyFont="1" applyFill="1"/>
    <xf numFmtId="0" fontId="6" fillId="3" borderId="0" xfId="0" applyFont="1" applyFill="1"/>
    <xf numFmtId="44" fontId="0" fillId="0" borderId="2" xfId="1" applyFont="1" applyFill="1" applyBorder="1"/>
    <xf numFmtId="0" fontId="4" fillId="2" borderId="0" xfId="0" applyFont="1" applyFill="1" applyBorder="1" applyAlignment="1">
      <alignment horizontal="left"/>
    </xf>
    <xf numFmtId="44" fontId="2" fillId="2" borderId="0" xfId="1" applyNumberFormat="1" applyFont="1" applyFill="1" applyBorder="1" applyAlignment="1">
      <alignment horizontal="left"/>
    </xf>
    <xf numFmtId="44" fontId="2" fillId="2" borderId="1" xfId="1" applyNumberFormat="1" applyFont="1" applyFill="1" applyBorder="1" applyAlignment="1">
      <alignment horizontal="left"/>
    </xf>
    <xf numFmtId="44" fontId="0" fillId="3" borderId="3" xfId="1" applyNumberFormat="1" applyFont="1" applyFill="1" applyBorder="1"/>
    <xf numFmtId="44" fontId="0" fillId="3" borderId="1" xfId="1" applyNumberFormat="1" applyFont="1" applyFill="1" applyBorder="1"/>
    <xf numFmtId="44" fontId="6" fillId="3" borderId="1" xfId="1" applyNumberFormat="1" applyFont="1" applyFill="1" applyBorder="1"/>
    <xf numFmtId="44" fontId="0" fillId="2" borderId="1" xfId="1" applyNumberFormat="1" applyFont="1" applyFill="1" applyBorder="1"/>
    <xf numFmtId="44" fontId="0" fillId="2" borderId="3" xfId="1" applyNumberFormat="1" applyFont="1" applyFill="1" applyBorder="1"/>
    <xf numFmtId="44" fontId="5" fillId="2" borderId="1" xfId="1" applyNumberFormat="1" applyFont="1" applyFill="1" applyBorder="1"/>
    <xf numFmtId="44" fontId="1" fillId="2" borderId="3" xfId="1" applyNumberFormat="1" applyFont="1" applyFill="1" applyBorder="1"/>
    <xf numFmtId="44" fontId="0" fillId="0" borderId="0" xfId="1" applyNumberFormat="1" applyFont="1"/>
    <xf numFmtId="16" fontId="0" fillId="0" borderId="2" xfId="0" applyNumberFormat="1" applyFill="1" applyBorder="1"/>
    <xf numFmtId="44" fontId="2" fillId="5" borderId="0" xfId="1" applyFont="1" applyFill="1" applyBorder="1" applyAlignment="1">
      <alignment horizontal="left"/>
    </xf>
    <xf numFmtId="16" fontId="5" fillId="0" borderId="0" xfId="0" applyNumberFormat="1" applyFont="1" applyFill="1"/>
    <xf numFmtId="44" fontId="5" fillId="0" borderId="0" xfId="1" applyFont="1" applyFill="1"/>
    <xf numFmtId="44" fontId="5" fillId="0" borderId="0" xfId="0" applyNumberFormat="1" applyFont="1" applyFill="1"/>
    <xf numFmtId="0" fontId="5" fillId="0" borderId="0" xfId="0" applyFont="1" applyFill="1"/>
    <xf numFmtId="0" fontId="0" fillId="0" borderId="2" xfId="0" applyBorder="1"/>
    <xf numFmtId="0" fontId="5" fillId="4" borderId="2" xfId="0" applyFont="1" applyFill="1" applyBorder="1"/>
    <xf numFmtId="0" fontId="5" fillId="0" borderId="2" xfId="0" applyFont="1" applyFill="1" applyBorder="1"/>
    <xf numFmtId="16" fontId="5" fillId="0" borderId="2" xfId="0" applyNumberFormat="1" applyFont="1" applyFill="1" applyBorder="1"/>
    <xf numFmtId="44" fontId="5" fillId="0" borderId="2" xfId="1" applyFont="1" applyFill="1" applyBorder="1"/>
    <xf numFmtId="44" fontId="5" fillId="0" borderId="2" xfId="0" applyNumberFormat="1" applyFont="1" applyFill="1" applyBorder="1"/>
    <xf numFmtId="0" fontId="0" fillId="2" borderId="0" xfId="0" applyFont="1" applyFill="1" applyBorder="1" applyAlignment="1">
      <alignment horizontal="left"/>
    </xf>
    <xf numFmtId="0" fontId="0" fillId="3" borderId="0" xfId="0" applyFont="1" applyFill="1"/>
    <xf numFmtId="0" fontId="0" fillId="0" borderId="0" xfId="0" applyFont="1" applyFill="1"/>
    <xf numFmtId="0" fontId="0" fillId="0" borderId="2" xfId="0" applyFont="1" applyFill="1" applyBorder="1"/>
    <xf numFmtId="0" fontId="5" fillId="0" borderId="0" xfId="0" applyFont="1" applyFill="1" applyBorder="1"/>
    <xf numFmtId="0" fontId="0" fillId="0" borderId="0" xfId="0" applyFont="1" applyFill="1" applyBorder="1"/>
    <xf numFmtId="0" fontId="0" fillId="4" borderId="0" xfId="0" applyFont="1" applyFill="1" applyBorder="1"/>
    <xf numFmtId="0" fontId="0" fillId="4" borderId="2" xfId="0" applyFont="1" applyFill="1" applyBorder="1"/>
    <xf numFmtId="0" fontId="0" fillId="0" borderId="0" xfId="0" applyFont="1"/>
    <xf numFmtId="0" fontId="0" fillId="6" borderId="0" xfId="0" applyFill="1"/>
    <xf numFmtId="44" fontId="0" fillId="7" borderId="0" xfId="0" applyNumberFormat="1" applyFill="1"/>
    <xf numFmtId="0" fontId="2" fillId="6" borderId="0" xfId="0" applyFont="1" applyFill="1" applyAlignment="1">
      <alignment horizontal="right"/>
    </xf>
    <xf numFmtId="44" fontId="2" fillId="6" borderId="0" xfId="1" applyFont="1" applyFill="1" applyAlignment="1">
      <alignment horizontal="right"/>
    </xf>
    <xf numFmtId="0" fontId="2" fillId="0" borderId="0" xfId="0" applyFont="1" applyAlignment="1">
      <alignment horizontal="right"/>
    </xf>
    <xf numFmtId="0" fontId="0" fillId="8" borderId="0" xfId="0" applyFont="1" applyFill="1" applyBorder="1"/>
    <xf numFmtId="0" fontId="0" fillId="8" borderId="2" xfId="0" applyFont="1" applyFill="1" applyBorder="1"/>
    <xf numFmtId="0" fontId="0" fillId="9" borderId="0" xfId="0" applyFont="1" applyFill="1" applyBorder="1"/>
    <xf numFmtId="164" fontId="4" fillId="2" borderId="0" xfId="1" applyNumberFormat="1" applyFont="1" applyFill="1" applyBorder="1" applyAlignment="1">
      <alignment horizontal="left"/>
    </xf>
    <xf numFmtId="164" fontId="2" fillId="2" borderId="0" xfId="1" applyNumberFormat="1" applyFont="1" applyFill="1" applyBorder="1" applyAlignment="1">
      <alignment horizontal="left"/>
    </xf>
    <xf numFmtId="164" fontId="0" fillId="3" borderId="0" xfId="1" applyNumberFormat="1" applyFont="1" applyFill="1"/>
    <xf numFmtId="164" fontId="6" fillId="3" borderId="0" xfId="1" applyNumberFormat="1" applyFont="1" applyFill="1"/>
    <xf numFmtId="164" fontId="0" fillId="0" borderId="2" xfId="1" applyNumberFormat="1" applyFont="1" applyBorder="1"/>
    <xf numFmtId="164" fontId="5" fillId="0" borderId="0" xfId="1" applyNumberFormat="1" applyFont="1" applyFill="1"/>
    <xf numFmtId="164" fontId="0" fillId="0" borderId="0" xfId="1" applyNumberFormat="1" applyFont="1" applyFill="1"/>
    <xf numFmtId="16" fontId="0" fillId="0" borderId="4" xfId="0" applyNumberFormat="1" applyBorder="1"/>
    <xf numFmtId="0" fontId="0" fillId="0" borderId="4" xfId="0" applyFont="1" applyFill="1" applyBorder="1"/>
    <xf numFmtId="44" fontId="0" fillId="0" borderId="4" xfId="1" applyFont="1" applyBorder="1"/>
    <xf numFmtId="44" fontId="0" fillId="0" borderId="4" xfId="0" applyNumberFormat="1" applyBorder="1"/>
    <xf numFmtId="44" fontId="0" fillId="0" borderId="4" xfId="1" applyFont="1" applyFill="1" applyBorder="1"/>
    <xf numFmtId="0" fontId="0" fillId="0" borderId="4" xfId="0" applyBorder="1"/>
    <xf numFmtId="164" fontId="0" fillId="0" borderId="4" xfId="1" applyNumberFormat="1" applyFont="1" applyBorder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71"/>
  <sheetViews>
    <sheetView tabSelected="1" workbookViewId="0">
      <pane xSplit="13" ySplit="5" topLeftCell="N192" activePane="bottomRight" state="frozen"/>
      <selection pane="topRight" activeCell="Q1" sqref="Q1"/>
      <selection pane="bottomLeft" activeCell="A3" sqref="A3"/>
      <selection pane="bottomRight" activeCell="F201" sqref="F201"/>
    </sheetView>
  </sheetViews>
  <sheetFormatPr defaultRowHeight="15" x14ac:dyDescent="0.25"/>
  <cols>
    <col min="1" max="1" width="7.28515625" bestFit="1" customWidth="1"/>
    <col min="2" max="2" width="9.5703125" bestFit="1" customWidth="1"/>
    <col min="3" max="3" width="7.5703125" style="66" bestFit="1" customWidth="1"/>
    <col min="4" max="4" width="5" style="66" bestFit="1" customWidth="1"/>
    <col min="5" max="5" width="10" style="45" bestFit="1" customWidth="1"/>
    <col min="6" max="6" width="10.5703125" style="45" bestFit="1" customWidth="1"/>
    <col min="7" max="8" width="11.5703125" bestFit="1" customWidth="1"/>
    <col min="9" max="9" width="11.28515625" style="1" bestFit="1" customWidth="1"/>
    <col min="10" max="10" width="8.7109375" bestFit="1" customWidth="1"/>
    <col min="11" max="11" width="11.85546875" bestFit="1" customWidth="1"/>
    <col min="12" max="12" width="15.85546875" bestFit="1" customWidth="1"/>
    <col min="13" max="13" width="15" style="10" bestFit="1" customWidth="1"/>
    <col min="14" max="14" width="11.28515625" bestFit="1" customWidth="1"/>
    <col min="15" max="15" width="10.5703125" style="1" bestFit="1" customWidth="1"/>
  </cols>
  <sheetData>
    <row r="1" spans="1:15" x14ac:dyDescent="0.25">
      <c r="A1" s="4"/>
      <c r="B1" s="4"/>
      <c r="C1" s="58"/>
      <c r="D1" s="58"/>
      <c r="E1" s="36"/>
      <c r="F1" s="36"/>
      <c r="G1" s="4"/>
      <c r="H1" s="4"/>
      <c r="I1" s="5"/>
      <c r="J1" s="4"/>
      <c r="K1" s="4"/>
      <c r="L1" s="35" t="s">
        <v>39</v>
      </c>
      <c r="M1" s="75">
        <v>-5000</v>
      </c>
    </row>
    <row r="2" spans="1:15" x14ac:dyDescent="0.25">
      <c r="A2" s="4"/>
      <c r="B2" s="4"/>
      <c r="C2" s="58"/>
      <c r="D2" s="58"/>
      <c r="E2" s="36"/>
      <c r="F2" s="36"/>
      <c r="G2" s="4"/>
      <c r="H2" s="4"/>
      <c r="I2" s="5"/>
      <c r="J2" s="4"/>
      <c r="K2" s="4"/>
      <c r="L2" s="35" t="s">
        <v>40</v>
      </c>
      <c r="M2" s="75">
        <v>-2030.1</v>
      </c>
    </row>
    <row r="3" spans="1:15" x14ac:dyDescent="0.25">
      <c r="A3" s="4"/>
      <c r="B3" s="4"/>
      <c r="C3" s="58"/>
      <c r="D3" s="58"/>
      <c r="E3" s="36"/>
      <c r="F3" s="36"/>
      <c r="G3" s="4"/>
      <c r="H3" s="4"/>
      <c r="I3" s="5"/>
      <c r="J3" s="4"/>
      <c r="K3" s="4"/>
      <c r="L3" s="4" t="s">
        <v>41</v>
      </c>
      <c r="M3" s="76"/>
    </row>
    <row r="4" spans="1:15" x14ac:dyDescent="0.25">
      <c r="A4" s="4"/>
      <c r="B4" s="4"/>
      <c r="C4" s="58"/>
      <c r="D4" s="58"/>
      <c r="E4" s="36"/>
      <c r="F4" s="36"/>
      <c r="G4" s="4"/>
      <c r="H4" s="4"/>
      <c r="I4" s="47">
        <f>SUM(I6:I271)</f>
        <v>6688.0600000000741</v>
      </c>
      <c r="J4" s="4"/>
      <c r="K4" s="4"/>
      <c r="L4" s="4"/>
      <c r="M4" s="76"/>
    </row>
    <row r="5" spans="1:15" x14ac:dyDescent="0.25">
      <c r="A5" s="4" t="s">
        <v>8</v>
      </c>
      <c r="B5" s="4" t="s">
        <v>31</v>
      </c>
      <c r="C5" s="4" t="s">
        <v>4</v>
      </c>
      <c r="D5" s="4" t="s">
        <v>5</v>
      </c>
      <c r="E5" s="37" t="s">
        <v>6</v>
      </c>
      <c r="F5" s="37" t="s">
        <v>7</v>
      </c>
      <c r="G5" s="5" t="s">
        <v>0</v>
      </c>
      <c r="H5" s="4" t="s">
        <v>1</v>
      </c>
      <c r="I5" s="5" t="s">
        <v>2</v>
      </c>
      <c r="J5" s="4" t="s">
        <v>10</v>
      </c>
      <c r="K5" s="4" t="s">
        <v>3</v>
      </c>
      <c r="L5" s="4" t="s">
        <v>46</v>
      </c>
      <c r="M5" s="76" t="s">
        <v>53</v>
      </c>
      <c r="N5" s="4" t="s">
        <v>59</v>
      </c>
      <c r="O5" s="1" t="s">
        <v>58</v>
      </c>
    </row>
    <row r="6" spans="1:15" s="29" customFormat="1" x14ac:dyDescent="0.25">
      <c r="A6" s="27">
        <v>41950</v>
      </c>
      <c r="B6" s="27" t="s">
        <v>32</v>
      </c>
      <c r="C6" s="59" t="s">
        <v>28</v>
      </c>
      <c r="D6" s="59">
        <v>1000</v>
      </c>
      <c r="E6" s="38">
        <v>12.9</v>
      </c>
      <c r="F6" s="38">
        <v>13.02</v>
      </c>
      <c r="G6" s="28">
        <f t="shared" ref="G6:G69" si="0">IF(D6&gt;0,(D6*E6)+K6,0)</f>
        <v>12909.99</v>
      </c>
      <c r="H6" s="26">
        <f t="shared" ref="H6:H69" si="1">IF(F6&gt;0,(D6*F6)-K6,0)</f>
        <v>13010.01</v>
      </c>
      <c r="I6" s="28">
        <f t="shared" ref="I6:I29" si="2">IF(F6&gt;0,H6-G6,0)</f>
        <v>100.02000000000044</v>
      </c>
      <c r="J6" s="26">
        <f t="shared" ref="J6:J29" si="3">IF(F6&gt;0,F6-E6,0)</f>
        <v>0.11999999999999922</v>
      </c>
      <c r="K6" s="28">
        <v>9.99</v>
      </c>
      <c r="M6" s="77"/>
      <c r="O6" s="28"/>
    </row>
    <row r="7" spans="1:15" s="29" customFormat="1" x14ac:dyDescent="0.25">
      <c r="A7" s="27">
        <v>41950</v>
      </c>
      <c r="B7" s="27" t="s">
        <v>32</v>
      </c>
      <c r="C7" s="59" t="s">
        <v>28</v>
      </c>
      <c r="D7" s="59">
        <v>1000</v>
      </c>
      <c r="E7" s="39">
        <v>13.3</v>
      </c>
      <c r="F7" s="39"/>
      <c r="G7" s="28">
        <f t="shared" si="0"/>
        <v>13309.99</v>
      </c>
      <c r="H7" s="26">
        <f t="shared" si="1"/>
        <v>0</v>
      </c>
      <c r="I7" s="28">
        <f t="shared" si="2"/>
        <v>0</v>
      </c>
      <c r="J7" s="26">
        <f t="shared" si="3"/>
        <v>0</v>
      </c>
      <c r="K7" s="28">
        <v>9.99</v>
      </c>
      <c r="M7" s="77"/>
      <c r="O7" s="28"/>
    </row>
    <row r="8" spans="1:15" s="33" customFormat="1" x14ac:dyDescent="0.25">
      <c r="A8" s="30">
        <v>41955</v>
      </c>
      <c r="B8" s="30" t="s">
        <v>33</v>
      </c>
      <c r="C8" s="33" t="s">
        <v>28</v>
      </c>
      <c r="D8" s="33">
        <v>1000</v>
      </c>
      <c r="E8" s="40">
        <v>12.83</v>
      </c>
      <c r="F8" s="40"/>
      <c r="G8" s="31">
        <f t="shared" si="0"/>
        <v>12839.99</v>
      </c>
      <c r="H8" s="32">
        <f t="shared" si="1"/>
        <v>0</v>
      </c>
      <c r="I8" s="31">
        <f t="shared" si="2"/>
        <v>0</v>
      </c>
      <c r="J8" s="32">
        <f t="shared" si="3"/>
        <v>0</v>
      </c>
      <c r="K8" s="31">
        <v>9.99</v>
      </c>
      <c r="M8" s="78"/>
      <c r="O8" s="31"/>
    </row>
    <row r="9" spans="1:15" s="29" customFormat="1" x14ac:dyDescent="0.25">
      <c r="A9" s="27"/>
      <c r="B9" s="27" t="s">
        <v>34</v>
      </c>
      <c r="C9" s="59" t="s">
        <v>28</v>
      </c>
      <c r="D9" s="59">
        <v>800</v>
      </c>
      <c r="E9" s="39">
        <v>12.15</v>
      </c>
      <c r="F9" s="39"/>
      <c r="G9" s="28">
        <f t="shared" si="0"/>
        <v>9729.99</v>
      </c>
      <c r="H9" s="26">
        <f t="shared" si="1"/>
        <v>0</v>
      </c>
      <c r="I9" s="28">
        <f t="shared" si="2"/>
        <v>0</v>
      </c>
      <c r="J9" s="26">
        <f t="shared" si="3"/>
        <v>0</v>
      </c>
      <c r="K9" s="28">
        <v>9.99</v>
      </c>
      <c r="M9" s="77"/>
      <c r="O9" s="28"/>
    </row>
    <row r="10" spans="1:15" s="29" customFormat="1" x14ac:dyDescent="0.25">
      <c r="A10" s="27">
        <v>41974</v>
      </c>
      <c r="B10" s="27"/>
      <c r="C10" s="59" t="s">
        <v>28</v>
      </c>
      <c r="D10" s="59">
        <v>1000</v>
      </c>
      <c r="E10" s="39">
        <v>12.44</v>
      </c>
      <c r="F10" s="39"/>
      <c r="G10" s="28">
        <f t="shared" si="0"/>
        <v>12444.99</v>
      </c>
      <c r="H10" s="26">
        <f t="shared" si="1"/>
        <v>0</v>
      </c>
      <c r="I10" s="28">
        <f t="shared" si="2"/>
        <v>0</v>
      </c>
      <c r="J10" s="26">
        <f t="shared" si="3"/>
        <v>0</v>
      </c>
      <c r="K10" s="28">
        <v>4.99</v>
      </c>
      <c r="M10" s="77"/>
      <c r="O10" s="28"/>
    </row>
    <row r="11" spans="1:15" s="29" customFormat="1" x14ac:dyDescent="0.25">
      <c r="A11" s="27"/>
      <c r="B11" s="27"/>
      <c r="C11" s="59" t="s">
        <v>28</v>
      </c>
      <c r="D11" s="59">
        <v>1000</v>
      </c>
      <c r="E11" s="39">
        <v>12.42</v>
      </c>
      <c r="F11" s="39"/>
      <c r="G11" s="28">
        <f t="shared" si="0"/>
        <v>12424.99</v>
      </c>
      <c r="H11" s="26">
        <f t="shared" si="1"/>
        <v>0</v>
      </c>
      <c r="I11" s="28">
        <f t="shared" si="2"/>
        <v>0</v>
      </c>
      <c r="J11" s="26">
        <f t="shared" si="3"/>
        <v>0</v>
      </c>
      <c r="K11" s="28">
        <v>4.99</v>
      </c>
      <c r="M11" s="77"/>
      <c r="O11" s="28"/>
    </row>
    <row r="12" spans="1:15" s="29" customFormat="1" x14ac:dyDescent="0.25">
      <c r="A12" s="27"/>
      <c r="B12" s="27"/>
      <c r="C12" s="59" t="s">
        <v>28</v>
      </c>
      <c r="D12" s="59">
        <v>1000</v>
      </c>
      <c r="E12" s="39">
        <v>11.9</v>
      </c>
      <c r="F12" s="39"/>
      <c r="G12" s="28">
        <f t="shared" si="0"/>
        <v>11904.99</v>
      </c>
      <c r="H12" s="26">
        <f t="shared" si="1"/>
        <v>0</v>
      </c>
      <c r="I12" s="28">
        <f t="shared" si="2"/>
        <v>0</v>
      </c>
      <c r="J12" s="26">
        <f t="shared" si="3"/>
        <v>0</v>
      </c>
      <c r="K12" s="28">
        <v>4.99</v>
      </c>
      <c r="M12" s="77"/>
      <c r="O12" s="28"/>
    </row>
    <row r="13" spans="1:15" x14ac:dyDescent="0.25">
      <c r="A13" s="3">
        <v>41975</v>
      </c>
      <c r="B13" s="3"/>
      <c r="C13" s="60" t="s">
        <v>28</v>
      </c>
      <c r="D13" s="60">
        <v>1000</v>
      </c>
      <c r="E13" s="41">
        <v>9.61</v>
      </c>
      <c r="F13" s="41">
        <v>9.7100000000000009</v>
      </c>
      <c r="G13" s="1">
        <f t="shared" si="0"/>
        <v>9614.99</v>
      </c>
      <c r="H13" s="2">
        <f t="shared" si="1"/>
        <v>9705.01</v>
      </c>
      <c r="I13" s="20">
        <f t="shared" si="2"/>
        <v>90.020000000000437</v>
      </c>
      <c r="J13" s="2">
        <f t="shared" si="3"/>
        <v>0.10000000000000142</v>
      </c>
      <c r="K13" s="1">
        <v>4.99</v>
      </c>
      <c r="L13" s="2">
        <f>SUM(I13:I15)</f>
        <v>-439.93999999999869</v>
      </c>
    </row>
    <row r="14" spans="1:15" x14ac:dyDescent="0.25">
      <c r="A14" s="3"/>
      <c r="B14" s="3"/>
      <c r="C14" s="60" t="s">
        <v>35</v>
      </c>
      <c r="D14" s="60">
        <v>2000</v>
      </c>
      <c r="E14" s="41">
        <v>3.78</v>
      </c>
      <c r="F14" s="41">
        <v>3.52</v>
      </c>
      <c r="G14" s="1">
        <f t="shared" si="0"/>
        <v>7564.99</v>
      </c>
      <c r="H14" s="2">
        <f t="shared" si="1"/>
        <v>7035.01</v>
      </c>
      <c r="I14" s="20">
        <f t="shared" si="2"/>
        <v>-529.97999999999956</v>
      </c>
      <c r="J14" s="2">
        <f t="shared" si="3"/>
        <v>-0.25999999999999979</v>
      </c>
      <c r="K14" s="1">
        <v>4.99</v>
      </c>
    </row>
    <row r="15" spans="1:15" x14ac:dyDescent="0.25">
      <c r="A15" s="3"/>
      <c r="B15" s="3"/>
      <c r="C15" s="60" t="s">
        <v>35</v>
      </c>
      <c r="D15" s="60">
        <v>1000</v>
      </c>
      <c r="E15" s="41">
        <v>3.45</v>
      </c>
      <c r="F15" s="41">
        <v>3.46</v>
      </c>
      <c r="G15" s="1">
        <f t="shared" si="0"/>
        <v>3454.99</v>
      </c>
      <c r="H15" s="2">
        <f t="shared" si="1"/>
        <v>3455.01</v>
      </c>
      <c r="I15" s="20">
        <f t="shared" si="2"/>
        <v>2.0000000000436557E-2</v>
      </c>
      <c r="J15" s="2">
        <f t="shared" si="3"/>
        <v>9.9999999999997868E-3</v>
      </c>
      <c r="K15" s="1">
        <v>4.99</v>
      </c>
    </row>
    <row r="16" spans="1:15" x14ac:dyDescent="0.25">
      <c r="A16" s="3">
        <v>41976</v>
      </c>
      <c r="B16" s="3"/>
      <c r="C16" s="60" t="s">
        <v>35</v>
      </c>
      <c r="D16" s="60">
        <v>1000</v>
      </c>
      <c r="E16" s="41">
        <v>3.75</v>
      </c>
      <c r="F16" s="41">
        <v>3.78</v>
      </c>
      <c r="G16" s="1">
        <f t="shared" si="0"/>
        <v>3754.99</v>
      </c>
      <c r="H16" s="2">
        <f t="shared" si="1"/>
        <v>3775.01</v>
      </c>
      <c r="I16" s="20">
        <f t="shared" si="2"/>
        <v>20.020000000000437</v>
      </c>
      <c r="J16" s="2">
        <f t="shared" si="3"/>
        <v>2.9999999999999805E-2</v>
      </c>
      <c r="K16" s="1">
        <v>4.99</v>
      </c>
    </row>
    <row r="17" spans="1:11" x14ac:dyDescent="0.25">
      <c r="A17" s="3"/>
      <c r="B17" s="3"/>
      <c r="C17" s="60" t="s">
        <v>35</v>
      </c>
      <c r="D17" s="60">
        <v>1000</v>
      </c>
      <c r="E17" s="41">
        <v>3.94</v>
      </c>
      <c r="F17" s="41">
        <v>3.99</v>
      </c>
      <c r="G17" s="1">
        <f t="shared" si="0"/>
        <v>3944.99</v>
      </c>
      <c r="H17" s="2">
        <f t="shared" si="1"/>
        <v>3985.01</v>
      </c>
      <c r="I17" s="20">
        <f t="shared" si="2"/>
        <v>40.020000000000437</v>
      </c>
      <c r="J17" s="2">
        <f t="shared" si="3"/>
        <v>5.0000000000000266E-2</v>
      </c>
      <c r="K17" s="1">
        <v>4.99</v>
      </c>
    </row>
    <row r="18" spans="1:11" x14ac:dyDescent="0.25">
      <c r="A18" s="3"/>
      <c r="B18" s="3"/>
      <c r="C18" s="60" t="s">
        <v>35</v>
      </c>
      <c r="D18" s="60">
        <v>1000</v>
      </c>
      <c r="E18" s="41">
        <v>3.98</v>
      </c>
      <c r="F18" s="41">
        <v>4.07</v>
      </c>
      <c r="G18" s="1">
        <f t="shared" si="0"/>
        <v>3984.99</v>
      </c>
      <c r="H18" s="2">
        <f t="shared" si="1"/>
        <v>4065.0100000000007</v>
      </c>
      <c r="I18" s="20">
        <f t="shared" si="2"/>
        <v>80.020000000000891</v>
      </c>
      <c r="J18" s="2">
        <f t="shared" si="3"/>
        <v>9.0000000000000302E-2</v>
      </c>
      <c r="K18" s="1">
        <v>4.99</v>
      </c>
    </row>
    <row r="19" spans="1:11" x14ac:dyDescent="0.25">
      <c r="A19" s="3">
        <v>41977</v>
      </c>
      <c r="B19" s="3"/>
      <c r="C19" s="60" t="s">
        <v>36</v>
      </c>
      <c r="D19" s="60">
        <v>1000</v>
      </c>
      <c r="E19" s="41">
        <v>3.75</v>
      </c>
      <c r="F19" s="41">
        <v>3.81</v>
      </c>
      <c r="G19" s="1">
        <f t="shared" si="0"/>
        <v>3754.99</v>
      </c>
      <c r="H19" s="2">
        <f t="shared" si="1"/>
        <v>3805.01</v>
      </c>
      <c r="I19" s="20">
        <f t="shared" si="2"/>
        <v>50.020000000000437</v>
      </c>
      <c r="J19" s="2">
        <f t="shared" si="3"/>
        <v>6.0000000000000053E-2</v>
      </c>
      <c r="K19" s="1">
        <v>4.99</v>
      </c>
    </row>
    <row r="20" spans="1:11" x14ac:dyDescent="0.25">
      <c r="A20" s="3"/>
      <c r="B20" s="3"/>
      <c r="C20" s="60" t="s">
        <v>28</v>
      </c>
      <c r="D20" s="60">
        <v>1000</v>
      </c>
      <c r="E20" s="41">
        <v>8.3800000000000008</v>
      </c>
      <c r="F20" s="41">
        <v>8.44</v>
      </c>
      <c r="G20" s="1">
        <f t="shared" si="0"/>
        <v>8384.99</v>
      </c>
      <c r="H20" s="2">
        <f t="shared" si="1"/>
        <v>8435.01</v>
      </c>
      <c r="I20" s="20">
        <f t="shared" si="2"/>
        <v>50.020000000000437</v>
      </c>
      <c r="J20" s="2">
        <f t="shared" si="3"/>
        <v>5.9999999999998721E-2</v>
      </c>
      <c r="K20" s="1">
        <v>4.99</v>
      </c>
    </row>
    <row r="21" spans="1:11" x14ac:dyDescent="0.25">
      <c r="A21" s="3"/>
      <c r="B21" s="3"/>
      <c r="C21" s="60" t="s">
        <v>28</v>
      </c>
      <c r="D21" s="60">
        <v>1000</v>
      </c>
      <c r="E21" s="41">
        <v>8.33</v>
      </c>
      <c r="F21" s="41">
        <v>8.42</v>
      </c>
      <c r="G21" s="1">
        <f t="shared" si="0"/>
        <v>8334.99</v>
      </c>
      <c r="H21" s="2">
        <f t="shared" si="1"/>
        <v>8415.01</v>
      </c>
      <c r="I21" s="20">
        <f t="shared" si="2"/>
        <v>80.020000000000437</v>
      </c>
      <c r="J21" s="2">
        <f t="shared" si="3"/>
        <v>8.9999999999999858E-2</v>
      </c>
      <c r="K21" s="1">
        <v>4.99</v>
      </c>
    </row>
    <row r="22" spans="1:11" x14ac:dyDescent="0.25">
      <c r="A22" s="3"/>
      <c r="B22" s="3"/>
      <c r="C22" s="60" t="s">
        <v>36</v>
      </c>
      <c r="D22" s="60">
        <v>1500</v>
      </c>
      <c r="E22" s="41">
        <v>3.41</v>
      </c>
      <c r="F22" s="41">
        <v>3.42</v>
      </c>
      <c r="G22" s="1">
        <f t="shared" si="0"/>
        <v>5119.99</v>
      </c>
      <c r="H22" s="2">
        <f t="shared" si="1"/>
        <v>5125.01</v>
      </c>
      <c r="I22" s="20">
        <f t="shared" si="2"/>
        <v>5.0200000000004366</v>
      </c>
      <c r="J22" s="2">
        <f t="shared" si="3"/>
        <v>9.9999999999997868E-3</v>
      </c>
      <c r="K22" s="1">
        <v>4.99</v>
      </c>
    </row>
    <row r="23" spans="1:11" x14ac:dyDescent="0.25">
      <c r="A23" s="3">
        <v>41978</v>
      </c>
      <c r="B23" s="3"/>
      <c r="C23" s="60" t="s">
        <v>28</v>
      </c>
      <c r="D23" s="60">
        <v>1000</v>
      </c>
      <c r="E23" s="41">
        <v>8.32</v>
      </c>
      <c r="F23" s="41">
        <v>8.64</v>
      </c>
      <c r="G23" s="1">
        <f t="shared" si="0"/>
        <v>8324.99</v>
      </c>
      <c r="H23" s="2">
        <f t="shared" si="1"/>
        <v>8635.01</v>
      </c>
      <c r="I23" s="20">
        <f t="shared" si="2"/>
        <v>310.02000000000044</v>
      </c>
      <c r="J23" s="2">
        <f t="shared" si="3"/>
        <v>0.32000000000000028</v>
      </c>
      <c r="K23" s="1">
        <v>4.99</v>
      </c>
    </row>
    <row r="24" spans="1:11" x14ac:dyDescent="0.25">
      <c r="A24" s="3"/>
      <c r="B24" s="3"/>
      <c r="C24" s="60" t="s">
        <v>28</v>
      </c>
      <c r="D24" s="60">
        <v>1000</v>
      </c>
      <c r="E24" s="41">
        <v>8.8800000000000008</v>
      </c>
      <c r="F24" s="41">
        <v>8.9600000000000009</v>
      </c>
      <c r="G24" s="1">
        <f t="shared" si="0"/>
        <v>8884.99</v>
      </c>
      <c r="H24" s="2">
        <f t="shared" si="1"/>
        <v>8955.01</v>
      </c>
      <c r="I24" s="20">
        <f t="shared" si="2"/>
        <v>70.020000000000437</v>
      </c>
      <c r="J24" s="2">
        <f t="shared" si="3"/>
        <v>8.0000000000000071E-2</v>
      </c>
      <c r="K24" s="1">
        <v>4.99</v>
      </c>
    </row>
    <row r="25" spans="1:11" x14ac:dyDescent="0.25">
      <c r="A25" s="3"/>
      <c r="B25" s="3"/>
      <c r="C25" s="60" t="s">
        <v>28</v>
      </c>
      <c r="D25" s="60">
        <v>1000</v>
      </c>
      <c r="E25" s="41">
        <v>8.99</v>
      </c>
      <c r="F25" s="41">
        <v>9</v>
      </c>
      <c r="G25" s="1">
        <f t="shared" si="0"/>
        <v>8994.99</v>
      </c>
      <c r="H25" s="2">
        <f t="shared" si="1"/>
        <v>8995.01</v>
      </c>
      <c r="I25" s="20">
        <f t="shared" si="2"/>
        <v>2.0000000000436557E-2</v>
      </c>
      <c r="J25" s="2">
        <f t="shared" si="3"/>
        <v>9.9999999999997868E-3</v>
      </c>
      <c r="K25" s="1">
        <v>4.99</v>
      </c>
    </row>
    <row r="26" spans="1:11" x14ac:dyDescent="0.25">
      <c r="A26" s="3"/>
      <c r="B26" s="3"/>
      <c r="C26" s="60" t="s">
        <v>28</v>
      </c>
      <c r="D26" s="60">
        <v>1000</v>
      </c>
      <c r="E26" s="41">
        <v>8.9499999999999993</v>
      </c>
      <c r="F26" s="41">
        <v>9</v>
      </c>
      <c r="G26" s="1">
        <f t="shared" si="0"/>
        <v>8954.99</v>
      </c>
      <c r="H26" s="2">
        <f t="shared" si="1"/>
        <v>8995.01</v>
      </c>
      <c r="I26" s="20">
        <f t="shared" si="2"/>
        <v>40.020000000000437</v>
      </c>
      <c r="J26" s="2">
        <f t="shared" si="3"/>
        <v>5.0000000000000711E-2</v>
      </c>
      <c r="K26" s="1">
        <v>4.99</v>
      </c>
    </row>
    <row r="27" spans="1:11" x14ac:dyDescent="0.25">
      <c r="A27" s="3"/>
      <c r="B27" s="3"/>
      <c r="C27" s="60" t="s">
        <v>30</v>
      </c>
      <c r="D27" s="60">
        <v>1000</v>
      </c>
      <c r="E27" s="41">
        <v>7.43</v>
      </c>
      <c r="F27" s="41">
        <v>7.18</v>
      </c>
      <c r="G27" s="1">
        <f t="shared" si="0"/>
        <v>7434.99</v>
      </c>
      <c r="H27" s="2">
        <f t="shared" si="1"/>
        <v>7175.01</v>
      </c>
      <c r="I27" s="20">
        <f t="shared" si="2"/>
        <v>-259.97999999999956</v>
      </c>
      <c r="J27" s="2">
        <f t="shared" si="3"/>
        <v>-0.25</v>
      </c>
      <c r="K27" s="1">
        <v>4.99</v>
      </c>
    </row>
    <row r="28" spans="1:11" x14ac:dyDescent="0.25">
      <c r="A28" s="3"/>
      <c r="B28" s="3"/>
      <c r="C28" s="60" t="s">
        <v>30</v>
      </c>
      <c r="D28" s="60">
        <v>1000</v>
      </c>
      <c r="E28" s="41">
        <v>7.01</v>
      </c>
      <c r="F28" s="41">
        <v>7.07</v>
      </c>
      <c r="G28" s="1">
        <f t="shared" si="0"/>
        <v>7014.99</v>
      </c>
      <c r="H28" s="2">
        <f t="shared" si="1"/>
        <v>7065.01</v>
      </c>
      <c r="I28" s="20">
        <f t="shared" si="2"/>
        <v>50.020000000000437</v>
      </c>
      <c r="J28" s="2">
        <f t="shared" si="3"/>
        <v>6.0000000000000497E-2</v>
      </c>
      <c r="K28" s="1">
        <v>4.99</v>
      </c>
    </row>
    <row r="29" spans="1:11" x14ac:dyDescent="0.25">
      <c r="A29" s="3"/>
      <c r="B29" s="3"/>
      <c r="C29" s="60" t="s">
        <v>35</v>
      </c>
      <c r="D29" s="60">
        <v>1000</v>
      </c>
      <c r="E29" s="41">
        <v>3.05</v>
      </c>
      <c r="F29" s="41">
        <v>3.12</v>
      </c>
      <c r="G29" s="1">
        <f t="shared" si="0"/>
        <v>3054.99</v>
      </c>
      <c r="H29" s="2">
        <f t="shared" si="1"/>
        <v>3115.01</v>
      </c>
      <c r="I29" s="20">
        <f t="shared" si="2"/>
        <v>60.020000000000437</v>
      </c>
      <c r="J29" s="2">
        <f t="shared" si="3"/>
        <v>7.0000000000000284E-2</v>
      </c>
      <c r="K29" s="1">
        <v>4.99</v>
      </c>
    </row>
    <row r="30" spans="1:11" x14ac:dyDescent="0.25">
      <c r="A30" s="3"/>
      <c r="B30" s="3"/>
      <c r="C30" s="60" t="s">
        <v>35</v>
      </c>
      <c r="D30" s="60">
        <v>1500</v>
      </c>
      <c r="E30" s="41">
        <v>3.07</v>
      </c>
      <c r="F30" s="41">
        <v>3.11</v>
      </c>
      <c r="G30" s="1">
        <f t="shared" si="0"/>
        <v>4609.99</v>
      </c>
      <c r="H30" s="2">
        <f t="shared" si="1"/>
        <v>4660.01</v>
      </c>
      <c r="I30" s="20">
        <f t="shared" ref="I30:I89" si="4">IF(F30&gt;0,H30-G30,0)</f>
        <v>50.020000000000437</v>
      </c>
      <c r="J30" s="2">
        <f t="shared" ref="J30:J89" si="5">IF(F30&gt;0,F30-E30,0)</f>
        <v>4.0000000000000036E-2</v>
      </c>
      <c r="K30" s="1">
        <v>4.99</v>
      </c>
    </row>
    <row r="31" spans="1:11" x14ac:dyDescent="0.25">
      <c r="A31" s="3">
        <v>41979</v>
      </c>
      <c r="B31" s="3"/>
      <c r="C31" s="60" t="s">
        <v>30</v>
      </c>
      <c r="D31" s="60">
        <v>1000</v>
      </c>
      <c r="E31" s="41">
        <v>7.12</v>
      </c>
      <c r="F31" s="41">
        <v>7.48</v>
      </c>
      <c r="G31" s="1">
        <f t="shared" si="0"/>
        <v>7124.99</v>
      </c>
      <c r="H31" s="2">
        <f t="shared" si="1"/>
        <v>7475.01</v>
      </c>
      <c r="I31" s="20">
        <f t="shared" si="4"/>
        <v>350.02000000000044</v>
      </c>
      <c r="J31" s="2">
        <f t="shared" si="5"/>
        <v>0.36000000000000032</v>
      </c>
      <c r="K31" s="1">
        <v>4.99</v>
      </c>
    </row>
    <row r="32" spans="1:11" x14ac:dyDescent="0.25">
      <c r="A32" s="3"/>
      <c r="B32" s="3"/>
      <c r="C32" s="60" t="s">
        <v>30</v>
      </c>
      <c r="D32" s="60">
        <v>1000</v>
      </c>
      <c r="E32" s="41">
        <v>7.47</v>
      </c>
      <c r="F32" s="41">
        <v>7.61</v>
      </c>
      <c r="G32" s="1">
        <f t="shared" si="0"/>
        <v>7474.99</v>
      </c>
      <c r="H32" s="2">
        <f t="shared" si="1"/>
        <v>7605.01</v>
      </c>
      <c r="I32" s="20">
        <f t="shared" si="4"/>
        <v>130.02000000000044</v>
      </c>
      <c r="J32" s="2">
        <f t="shared" si="5"/>
        <v>0.14000000000000057</v>
      </c>
      <c r="K32" s="1">
        <v>4.99</v>
      </c>
    </row>
    <row r="33" spans="1:15" x14ac:dyDescent="0.25">
      <c r="A33" s="3"/>
      <c r="B33" s="3"/>
      <c r="C33" s="60" t="s">
        <v>28</v>
      </c>
      <c r="D33" s="60">
        <v>1000</v>
      </c>
      <c r="E33" s="41">
        <v>8.27</v>
      </c>
      <c r="F33" s="41">
        <v>8.2899999999999991</v>
      </c>
      <c r="G33" s="1">
        <f t="shared" si="0"/>
        <v>8274.99</v>
      </c>
      <c r="H33" s="2">
        <f t="shared" si="1"/>
        <v>8285.01</v>
      </c>
      <c r="I33" s="20">
        <f t="shared" si="4"/>
        <v>10.020000000000437</v>
      </c>
      <c r="J33" s="2">
        <f t="shared" si="5"/>
        <v>1.9999999999999574E-2</v>
      </c>
      <c r="K33" s="1">
        <v>4.99</v>
      </c>
    </row>
    <row r="34" spans="1:15" x14ac:dyDescent="0.25">
      <c r="A34" s="22"/>
      <c r="B34" s="22"/>
      <c r="C34" s="61" t="s">
        <v>35</v>
      </c>
      <c r="D34" s="61">
        <v>1500</v>
      </c>
      <c r="E34" s="41">
        <v>3.05</v>
      </c>
      <c r="F34" s="41">
        <v>3.14</v>
      </c>
      <c r="G34" s="23">
        <f t="shared" si="0"/>
        <v>4579.99</v>
      </c>
      <c r="H34" s="24">
        <f t="shared" si="1"/>
        <v>4705.01</v>
      </c>
      <c r="I34" s="34">
        <f t="shared" si="4"/>
        <v>125.02000000000044</v>
      </c>
      <c r="J34" s="24">
        <f t="shared" si="5"/>
        <v>9.0000000000000302E-2</v>
      </c>
      <c r="K34" s="23">
        <v>4.99</v>
      </c>
      <c r="L34" s="52"/>
      <c r="M34" s="79"/>
    </row>
    <row r="35" spans="1:15" x14ac:dyDescent="0.25">
      <c r="A35" s="3">
        <v>41982</v>
      </c>
      <c r="B35" s="3"/>
      <c r="C35" s="60" t="s">
        <v>35</v>
      </c>
      <c r="D35" s="60">
        <v>1500</v>
      </c>
      <c r="E35" s="42">
        <v>3.22</v>
      </c>
      <c r="F35" s="42">
        <v>3.61</v>
      </c>
      <c r="G35" s="1">
        <f t="shared" si="0"/>
        <v>4834.99</v>
      </c>
      <c r="H35" s="2">
        <f t="shared" si="1"/>
        <v>5410.01</v>
      </c>
      <c r="I35" s="20">
        <f t="shared" si="4"/>
        <v>575.02000000000044</v>
      </c>
      <c r="J35" s="2">
        <f t="shared" si="5"/>
        <v>0.38999999999999968</v>
      </c>
      <c r="K35" s="1">
        <v>4.99</v>
      </c>
    </row>
    <row r="36" spans="1:15" x14ac:dyDescent="0.25">
      <c r="A36" s="3"/>
      <c r="B36" s="3"/>
      <c r="C36" s="60" t="s">
        <v>28</v>
      </c>
      <c r="D36" s="60">
        <v>1000</v>
      </c>
      <c r="E36" s="41">
        <v>8.17</v>
      </c>
      <c r="F36" s="41">
        <v>8.4</v>
      </c>
      <c r="G36" s="1">
        <f t="shared" si="0"/>
        <v>8174.99</v>
      </c>
      <c r="H36" s="2">
        <f t="shared" si="1"/>
        <v>8395.01</v>
      </c>
      <c r="I36" s="20">
        <f t="shared" si="4"/>
        <v>220.02000000000044</v>
      </c>
      <c r="J36" s="2">
        <f t="shared" si="5"/>
        <v>0.23000000000000043</v>
      </c>
      <c r="K36" s="1">
        <v>4.99</v>
      </c>
    </row>
    <row r="37" spans="1:15" x14ac:dyDescent="0.25">
      <c r="A37" s="3"/>
      <c r="B37" s="3"/>
      <c r="C37" s="60" t="s">
        <v>35</v>
      </c>
      <c r="D37" s="60">
        <v>1500</v>
      </c>
      <c r="E37" s="41">
        <v>3.69</v>
      </c>
      <c r="F37" s="41">
        <v>3.75</v>
      </c>
      <c r="G37" s="1">
        <f t="shared" si="0"/>
        <v>5539.99</v>
      </c>
      <c r="H37" s="2">
        <f t="shared" si="1"/>
        <v>5620.01</v>
      </c>
      <c r="I37" s="20">
        <f t="shared" si="4"/>
        <v>80.020000000000437</v>
      </c>
      <c r="J37" s="2">
        <f t="shared" si="5"/>
        <v>6.0000000000000053E-2</v>
      </c>
      <c r="K37" s="1">
        <v>4.99</v>
      </c>
    </row>
    <row r="38" spans="1:15" x14ac:dyDescent="0.25">
      <c r="A38" s="3"/>
      <c r="B38" s="3"/>
      <c r="C38" s="60" t="s">
        <v>35</v>
      </c>
      <c r="D38" s="60">
        <v>1500</v>
      </c>
      <c r="E38" s="41">
        <v>3.77</v>
      </c>
      <c r="F38" s="41">
        <v>3.69</v>
      </c>
      <c r="G38" s="1">
        <f t="shared" si="0"/>
        <v>5659.99</v>
      </c>
      <c r="H38" s="2">
        <f t="shared" si="1"/>
        <v>5530.01</v>
      </c>
      <c r="I38" s="20">
        <f t="shared" si="4"/>
        <v>-129.97999999999956</v>
      </c>
      <c r="J38" s="2">
        <f t="shared" si="5"/>
        <v>-8.0000000000000071E-2</v>
      </c>
      <c r="K38" s="1">
        <v>4.99</v>
      </c>
    </row>
    <row r="39" spans="1:15" x14ac:dyDescent="0.25">
      <c r="A39" s="3"/>
      <c r="B39" s="3"/>
      <c r="C39" s="60" t="s">
        <v>37</v>
      </c>
      <c r="D39" s="60">
        <v>1000</v>
      </c>
      <c r="E39" s="41">
        <v>7.44</v>
      </c>
      <c r="F39" s="41">
        <v>7.48</v>
      </c>
      <c r="G39" s="1">
        <f t="shared" si="0"/>
        <v>7444.99</v>
      </c>
      <c r="H39" s="2">
        <f t="shared" si="1"/>
        <v>7475.01</v>
      </c>
      <c r="I39" s="20">
        <f t="shared" si="4"/>
        <v>30.020000000000437</v>
      </c>
      <c r="J39" s="2">
        <f t="shared" si="5"/>
        <v>4.0000000000000036E-2</v>
      </c>
      <c r="K39" s="1">
        <v>4.99</v>
      </c>
    </row>
    <row r="40" spans="1:15" x14ac:dyDescent="0.25">
      <c r="A40" s="3"/>
      <c r="B40" s="3"/>
      <c r="C40" s="60" t="s">
        <v>35</v>
      </c>
      <c r="D40" s="60">
        <v>1500</v>
      </c>
      <c r="E40" s="41">
        <v>3.6</v>
      </c>
      <c r="F40" s="41">
        <v>3.66</v>
      </c>
      <c r="G40" s="1">
        <f t="shared" si="0"/>
        <v>5404.99</v>
      </c>
      <c r="H40" s="2">
        <f t="shared" si="1"/>
        <v>5485.01</v>
      </c>
      <c r="I40" s="20">
        <f t="shared" si="4"/>
        <v>80.020000000000437</v>
      </c>
      <c r="J40" s="2">
        <f t="shared" si="5"/>
        <v>6.0000000000000053E-2</v>
      </c>
      <c r="K40" s="1">
        <v>4.99</v>
      </c>
    </row>
    <row r="41" spans="1:15" x14ac:dyDescent="0.25">
      <c r="A41" s="22"/>
      <c r="B41" s="22"/>
      <c r="C41" s="61" t="s">
        <v>37</v>
      </c>
      <c r="D41" s="61">
        <v>1000</v>
      </c>
      <c r="E41" s="41">
        <v>7.37</v>
      </c>
      <c r="F41" s="41">
        <v>7.42</v>
      </c>
      <c r="G41" s="23">
        <f t="shared" si="0"/>
        <v>7374.99</v>
      </c>
      <c r="H41" s="24">
        <f t="shared" si="1"/>
        <v>7415.01</v>
      </c>
      <c r="I41" s="34">
        <f t="shared" si="4"/>
        <v>40.020000000000437</v>
      </c>
      <c r="J41" s="24">
        <f t="shared" si="5"/>
        <v>4.9999999999999822E-2</v>
      </c>
      <c r="K41" s="23">
        <v>4.99</v>
      </c>
      <c r="L41" s="52"/>
      <c r="M41" s="79"/>
    </row>
    <row r="42" spans="1:15" x14ac:dyDescent="0.25">
      <c r="A42" s="3">
        <v>41983</v>
      </c>
      <c r="B42" s="3"/>
      <c r="C42" s="60" t="s">
        <v>28</v>
      </c>
      <c r="D42" s="60">
        <v>1000</v>
      </c>
      <c r="E42" s="42">
        <v>8.3800000000000008</v>
      </c>
      <c r="F42" s="42">
        <v>8.44</v>
      </c>
      <c r="G42" s="1">
        <f t="shared" si="0"/>
        <v>8384.99</v>
      </c>
      <c r="H42" s="2">
        <f t="shared" si="1"/>
        <v>8435.01</v>
      </c>
      <c r="I42" s="20">
        <f t="shared" si="4"/>
        <v>50.020000000000437</v>
      </c>
      <c r="J42" s="2">
        <f t="shared" si="5"/>
        <v>5.9999999999998721E-2</v>
      </c>
      <c r="K42" s="1">
        <v>4.99</v>
      </c>
    </row>
    <row r="43" spans="1:15" s="51" customFormat="1" x14ac:dyDescent="0.25">
      <c r="A43" s="48"/>
      <c r="B43" s="48" t="s">
        <v>33</v>
      </c>
      <c r="C43" s="62" t="s">
        <v>9</v>
      </c>
      <c r="D43" s="62">
        <v>1000</v>
      </c>
      <c r="E43" s="42">
        <v>5.91</v>
      </c>
      <c r="F43" s="42">
        <v>6.06</v>
      </c>
      <c r="G43" s="49">
        <f t="shared" si="0"/>
        <v>5914.99</v>
      </c>
      <c r="H43" s="50">
        <f t="shared" si="1"/>
        <v>6055.01</v>
      </c>
      <c r="I43" s="49">
        <f t="shared" si="4"/>
        <v>140.02000000000044</v>
      </c>
      <c r="J43" s="50">
        <f t="shared" si="5"/>
        <v>0.14999999999999947</v>
      </c>
      <c r="K43" s="49">
        <v>4.99</v>
      </c>
      <c r="M43" s="80"/>
      <c r="O43" s="49"/>
    </row>
    <row r="44" spans="1:15" x14ac:dyDescent="0.25">
      <c r="A44" s="3"/>
      <c r="B44" s="3"/>
      <c r="C44" s="60" t="s">
        <v>35</v>
      </c>
      <c r="D44" s="60">
        <v>1500</v>
      </c>
      <c r="E44" s="41">
        <v>3.46</v>
      </c>
      <c r="F44" s="41">
        <v>3.36</v>
      </c>
      <c r="G44" s="1">
        <f t="shared" si="0"/>
        <v>5194.99</v>
      </c>
      <c r="H44" s="2">
        <f t="shared" si="1"/>
        <v>5035.01</v>
      </c>
      <c r="I44" s="20">
        <f t="shared" si="4"/>
        <v>-159.97999999999956</v>
      </c>
      <c r="J44" s="2">
        <f t="shared" si="5"/>
        <v>-0.10000000000000009</v>
      </c>
      <c r="K44" s="1">
        <v>4.99</v>
      </c>
    </row>
    <row r="45" spans="1:15" x14ac:dyDescent="0.25">
      <c r="A45" s="3"/>
      <c r="B45" s="3"/>
      <c r="C45" s="60" t="s">
        <v>28</v>
      </c>
      <c r="D45" s="60">
        <v>1000</v>
      </c>
      <c r="E45" s="41">
        <v>8.59</v>
      </c>
      <c r="F45" s="43">
        <v>8.67</v>
      </c>
      <c r="G45" s="1">
        <f t="shared" si="0"/>
        <v>8594.99</v>
      </c>
      <c r="H45" s="2">
        <f t="shared" si="1"/>
        <v>8665.01</v>
      </c>
      <c r="I45" s="20">
        <f t="shared" si="4"/>
        <v>70.020000000000437</v>
      </c>
      <c r="J45" s="2">
        <f t="shared" si="5"/>
        <v>8.0000000000000071E-2</v>
      </c>
      <c r="K45" s="1">
        <v>4.99</v>
      </c>
    </row>
    <row r="46" spans="1:15" x14ac:dyDescent="0.25">
      <c r="A46" s="3"/>
      <c r="B46" s="3"/>
      <c r="C46" s="60" t="s">
        <v>30</v>
      </c>
      <c r="D46" s="60">
        <v>1000</v>
      </c>
      <c r="E46" s="41">
        <v>7.21</v>
      </c>
      <c r="F46" s="43">
        <v>7.29</v>
      </c>
      <c r="G46" s="1">
        <f t="shared" si="0"/>
        <v>7214.99</v>
      </c>
      <c r="H46" s="2">
        <f t="shared" si="1"/>
        <v>7285.01</v>
      </c>
      <c r="I46" s="20">
        <f t="shared" si="4"/>
        <v>70.020000000000437</v>
      </c>
      <c r="J46" s="2">
        <f t="shared" si="5"/>
        <v>8.0000000000000071E-2</v>
      </c>
      <c r="K46" s="1">
        <v>4.99</v>
      </c>
    </row>
    <row r="47" spans="1:15" x14ac:dyDescent="0.25">
      <c r="A47" s="3"/>
      <c r="B47" s="3"/>
      <c r="C47" s="60" t="s">
        <v>35</v>
      </c>
      <c r="D47" s="60">
        <v>1500</v>
      </c>
      <c r="E47" s="43">
        <v>3.46</v>
      </c>
      <c r="F47" s="41">
        <v>2.91</v>
      </c>
      <c r="G47" s="1">
        <f t="shared" si="0"/>
        <v>5194.99</v>
      </c>
      <c r="H47" s="2">
        <f t="shared" si="1"/>
        <v>4360.01</v>
      </c>
      <c r="I47" s="20">
        <f t="shared" si="4"/>
        <v>-834.97999999999956</v>
      </c>
      <c r="J47" s="2">
        <f t="shared" si="5"/>
        <v>-0.54999999999999982</v>
      </c>
      <c r="K47" s="1">
        <v>4.99</v>
      </c>
    </row>
    <row r="48" spans="1:15" x14ac:dyDescent="0.25">
      <c r="A48" s="3"/>
      <c r="B48" s="3"/>
      <c r="C48" s="60" t="s">
        <v>35</v>
      </c>
      <c r="D48" s="60">
        <v>900</v>
      </c>
      <c r="E48" s="41">
        <v>3.21</v>
      </c>
      <c r="F48" s="41">
        <v>3.25</v>
      </c>
      <c r="G48" s="1">
        <f t="shared" si="0"/>
        <v>2893.99</v>
      </c>
      <c r="H48" s="2">
        <f t="shared" si="1"/>
        <v>2920.01</v>
      </c>
      <c r="I48" s="20">
        <f t="shared" si="4"/>
        <v>26.020000000000437</v>
      </c>
      <c r="J48" s="2">
        <f t="shared" si="5"/>
        <v>4.0000000000000036E-2</v>
      </c>
      <c r="K48" s="1">
        <v>4.99</v>
      </c>
    </row>
    <row r="49" spans="1:15" x14ac:dyDescent="0.25">
      <c r="A49" s="22"/>
      <c r="B49" s="22"/>
      <c r="C49" s="61" t="s">
        <v>35</v>
      </c>
      <c r="D49" s="61">
        <v>900</v>
      </c>
      <c r="E49" s="41">
        <v>3.23</v>
      </c>
      <c r="F49" s="41">
        <v>3.28</v>
      </c>
      <c r="G49" s="23">
        <f t="shared" si="0"/>
        <v>2911.99</v>
      </c>
      <c r="H49" s="24">
        <f t="shared" si="1"/>
        <v>2947.01</v>
      </c>
      <c r="I49" s="34">
        <f t="shared" si="4"/>
        <v>35.020000000000437</v>
      </c>
      <c r="J49" s="24">
        <f t="shared" si="5"/>
        <v>4.9999999999999822E-2</v>
      </c>
      <c r="K49" s="23">
        <v>4.99</v>
      </c>
      <c r="L49" s="52"/>
      <c r="M49" s="79"/>
    </row>
    <row r="50" spans="1:15" x14ac:dyDescent="0.25">
      <c r="A50" s="3">
        <v>41984</v>
      </c>
      <c r="B50" s="3"/>
      <c r="C50" s="60" t="s">
        <v>28</v>
      </c>
      <c r="D50" s="60">
        <v>1000</v>
      </c>
      <c r="E50" s="42">
        <v>8.58</v>
      </c>
      <c r="F50" s="44">
        <v>8.82</v>
      </c>
      <c r="G50" s="1">
        <f t="shared" si="0"/>
        <v>8584.99</v>
      </c>
      <c r="H50" s="2">
        <f t="shared" si="1"/>
        <v>8815.01</v>
      </c>
      <c r="I50" s="20">
        <f t="shared" si="4"/>
        <v>230.02000000000044</v>
      </c>
      <c r="J50" s="2">
        <f t="shared" si="5"/>
        <v>0.24000000000000021</v>
      </c>
      <c r="K50" s="1">
        <v>4.99</v>
      </c>
    </row>
    <row r="51" spans="1:15" x14ac:dyDescent="0.25">
      <c r="A51" s="3"/>
      <c r="B51" s="3"/>
      <c r="C51" s="60" t="s">
        <v>35</v>
      </c>
      <c r="D51" s="60">
        <v>1000</v>
      </c>
      <c r="E51" s="41">
        <v>3</v>
      </c>
      <c r="F51" s="41">
        <v>3.05</v>
      </c>
      <c r="G51" s="1">
        <f t="shared" si="0"/>
        <v>3004.99</v>
      </c>
      <c r="H51" s="2">
        <f t="shared" si="1"/>
        <v>3045.01</v>
      </c>
      <c r="I51" s="20">
        <f t="shared" si="4"/>
        <v>40.020000000000437</v>
      </c>
      <c r="J51" s="2">
        <f t="shared" si="5"/>
        <v>4.9999999999999822E-2</v>
      </c>
      <c r="K51" s="1">
        <v>4.99</v>
      </c>
    </row>
    <row r="52" spans="1:15" x14ac:dyDescent="0.25">
      <c r="A52" s="3"/>
      <c r="B52" s="3"/>
      <c r="C52" s="60" t="s">
        <v>35</v>
      </c>
      <c r="D52" s="60">
        <v>1000</v>
      </c>
      <c r="E52" s="41">
        <v>3.15</v>
      </c>
      <c r="F52" s="41">
        <v>3.05</v>
      </c>
      <c r="G52" s="1">
        <f t="shared" si="0"/>
        <v>3154.99</v>
      </c>
      <c r="H52" s="2">
        <f t="shared" si="1"/>
        <v>3045.01</v>
      </c>
      <c r="I52" s="20">
        <f t="shared" si="4"/>
        <v>-109.97999999999956</v>
      </c>
      <c r="J52" s="2">
        <f t="shared" si="5"/>
        <v>-0.10000000000000009</v>
      </c>
      <c r="K52" s="1">
        <v>4.99</v>
      </c>
    </row>
    <row r="53" spans="1:15" x14ac:dyDescent="0.25">
      <c r="A53" s="3"/>
      <c r="B53" s="3"/>
      <c r="C53" s="60" t="s">
        <v>35</v>
      </c>
      <c r="D53" s="60">
        <v>2000</v>
      </c>
      <c r="E53" s="41">
        <v>3.15</v>
      </c>
      <c r="F53" s="41">
        <v>3.15</v>
      </c>
      <c r="G53" s="1">
        <f t="shared" si="0"/>
        <v>6304.99</v>
      </c>
      <c r="H53" s="2">
        <f t="shared" si="1"/>
        <v>6295.01</v>
      </c>
      <c r="I53" s="20">
        <f t="shared" si="4"/>
        <v>-9.9799999999995634</v>
      </c>
      <c r="J53" s="2">
        <f t="shared" si="5"/>
        <v>0</v>
      </c>
      <c r="K53" s="1">
        <v>4.99</v>
      </c>
    </row>
    <row r="54" spans="1:15" x14ac:dyDescent="0.25">
      <c r="A54" s="3"/>
      <c r="B54" s="3"/>
      <c r="C54" s="60" t="s">
        <v>28</v>
      </c>
      <c r="D54" s="60">
        <v>1000</v>
      </c>
      <c r="E54" s="41">
        <v>8.27</v>
      </c>
      <c r="F54" s="41">
        <v>8.2799999999999994</v>
      </c>
      <c r="G54" s="1">
        <f t="shared" si="0"/>
        <v>8274.99</v>
      </c>
      <c r="H54" s="2">
        <f t="shared" si="1"/>
        <v>8275.01</v>
      </c>
      <c r="I54" s="20">
        <f t="shared" si="4"/>
        <v>2.0000000000436557E-2</v>
      </c>
      <c r="J54" s="2">
        <f t="shared" si="5"/>
        <v>9.9999999999997868E-3</v>
      </c>
      <c r="K54" s="1">
        <v>4.99</v>
      </c>
    </row>
    <row r="55" spans="1:15" x14ac:dyDescent="0.25">
      <c r="A55" s="3"/>
      <c r="B55" s="3"/>
      <c r="C55" s="60" t="s">
        <v>30</v>
      </c>
      <c r="D55" s="60">
        <v>1000</v>
      </c>
      <c r="E55" s="41">
        <v>7.57</v>
      </c>
      <c r="F55" s="43">
        <v>7.62</v>
      </c>
      <c r="G55" s="1">
        <f t="shared" si="0"/>
        <v>7574.99</v>
      </c>
      <c r="H55" s="2">
        <f t="shared" si="1"/>
        <v>7615.01</v>
      </c>
      <c r="I55" s="20">
        <f t="shared" si="4"/>
        <v>40.020000000000437</v>
      </c>
      <c r="J55" s="2">
        <f t="shared" si="5"/>
        <v>4.9999999999999822E-2</v>
      </c>
      <c r="K55" s="1">
        <v>4.99</v>
      </c>
    </row>
    <row r="56" spans="1:15" x14ac:dyDescent="0.25">
      <c r="A56" s="3"/>
      <c r="B56" s="3"/>
      <c r="C56" s="60" t="s">
        <v>30</v>
      </c>
      <c r="D56" s="60">
        <v>1000</v>
      </c>
      <c r="E56" s="43">
        <v>7.55</v>
      </c>
      <c r="F56" s="41">
        <v>7.51</v>
      </c>
      <c r="G56" s="1">
        <f t="shared" si="0"/>
        <v>7554.99</v>
      </c>
      <c r="H56" s="2">
        <f t="shared" si="1"/>
        <v>7505.01</v>
      </c>
      <c r="I56" s="20">
        <f t="shared" si="4"/>
        <v>-49.979999999999563</v>
      </c>
      <c r="J56" s="2">
        <f t="shared" si="5"/>
        <v>-4.0000000000000036E-2</v>
      </c>
      <c r="K56" s="1">
        <v>4.99</v>
      </c>
    </row>
    <row r="57" spans="1:15" x14ac:dyDescent="0.25">
      <c r="A57" s="3"/>
      <c r="B57" s="3"/>
      <c r="C57" s="60" t="s">
        <v>38</v>
      </c>
      <c r="D57" s="60">
        <v>1000</v>
      </c>
      <c r="E57" s="43">
        <v>2.97</v>
      </c>
      <c r="F57" s="43">
        <v>3.12</v>
      </c>
      <c r="G57" s="1">
        <f t="shared" si="0"/>
        <v>2974.99</v>
      </c>
      <c r="H57" s="2">
        <f t="shared" si="1"/>
        <v>3115.01</v>
      </c>
      <c r="I57" s="20">
        <f t="shared" si="4"/>
        <v>140.02000000000044</v>
      </c>
      <c r="J57" s="2">
        <f t="shared" si="5"/>
        <v>0.14999999999999991</v>
      </c>
      <c r="K57" s="1">
        <v>4.99</v>
      </c>
    </row>
    <row r="58" spans="1:15" s="51" customFormat="1" x14ac:dyDescent="0.25">
      <c r="A58" s="55"/>
      <c r="B58" s="55"/>
      <c r="C58" s="53" t="s">
        <v>29</v>
      </c>
      <c r="D58" s="54">
        <v>1000</v>
      </c>
      <c r="E58" s="42">
        <v>3.59</v>
      </c>
      <c r="F58" s="42"/>
      <c r="G58" s="56">
        <f t="shared" si="0"/>
        <v>3594.99</v>
      </c>
      <c r="H58" s="57">
        <f t="shared" si="1"/>
        <v>0</v>
      </c>
      <c r="I58" s="56">
        <f t="shared" si="4"/>
        <v>0</v>
      </c>
      <c r="J58" s="57">
        <f t="shared" si="5"/>
        <v>0</v>
      </c>
      <c r="K58" s="56">
        <v>4.99</v>
      </c>
      <c r="L58" s="54"/>
      <c r="M58" s="79"/>
      <c r="O58" s="49"/>
    </row>
    <row r="59" spans="1:15" x14ac:dyDescent="0.25">
      <c r="A59" s="3">
        <v>41985</v>
      </c>
      <c r="B59" s="3"/>
      <c r="C59" s="63" t="s">
        <v>38</v>
      </c>
      <c r="D59" s="63">
        <v>1000</v>
      </c>
      <c r="E59" s="42">
        <v>3.81</v>
      </c>
      <c r="F59" s="42">
        <v>3.86</v>
      </c>
      <c r="G59" s="1">
        <f t="shared" si="0"/>
        <v>3814.99</v>
      </c>
      <c r="H59" s="2">
        <f t="shared" si="1"/>
        <v>3855.01</v>
      </c>
      <c r="I59" s="20">
        <f t="shared" si="4"/>
        <v>40.020000000000437</v>
      </c>
      <c r="J59" s="2">
        <f t="shared" si="5"/>
        <v>4.9999999999999822E-2</v>
      </c>
      <c r="K59" s="1">
        <v>4.99</v>
      </c>
    </row>
    <row r="60" spans="1:15" x14ac:dyDescent="0.25">
      <c r="A60" s="3"/>
      <c r="B60" s="3"/>
      <c r="C60" s="63" t="s">
        <v>30</v>
      </c>
      <c r="D60" s="63">
        <v>1000</v>
      </c>
      <c r="E60" s="41">
        <v>7.19</v>
      </c>
      <c r="F60" s="41">
        <v>7.25</v>
      </c>
      <c r="G60" s="1">
        <f t="shared" si="0"/>
        <v>7194.99</v>
      </c>
      <c r="H60" s="2">
        <f t="shared" si="1"/>
        <v>7245.01</v>
      </c>
      <c r="I60" s="20">
        <f t="shared" si="4"/>
        <v>50.020000000000437</v>
      </c>
      <c r="J60" s="2">
        <f t="shared" si="5"/>
        <v>5.9999999999999609E-2</v>
      </c>
      <c r="K60" s="1">
        <v>4.99</v>
      </c>
    </row>
    <row r="61" spans="1:15" x14ac:dyDescent="0.25">
      <c r="A61" s="3"/>
      <c r="B61" s="3"/>
      <c r="C61" s="63" t="s">
        <v>30</v>
      </c>
      <c r="D61" s="63">
        <v>1000</v>
      </c>
      <c r="E61" s="43">
        <v>7.17</v>
      </c>
      <c r="F61" s="43">
        <v>7.21</v>
      </c>
      <c r="G61" s="1">
        <f t="shared" si="0"/>
        <v>7174.99</v>
      </c>
      <c r="H61" s="2">
        <f t="shared" si="1"/>
        <v>7205.01</v>
      </c>
      <c r="I61" s="20">
        <f t="shared" si="4"/>
        <v>30.020000000000437</v>
      </c>
      <c r="J61" s="2">
        <f t="shared" si="5"/>
        <v>4.0000000000000036E-2</v>
      </c>
      <c r="K61" s="1">
        <v>4.99</v>
      </c>
    </row>
    <row r="62" spans="1:15" x14ac:dyDescent="0.25">
      <c r="A62" s="22"/>
      <c r="B62" s="22"/>
      <c r="C62" s="61" t="s">
        <v>28</v>
      </c>
      <c r="D62" s="61">
        <v>1000</v>
      </c>
      <c r="E62" s="41">
        <v>8.75</v>
      </c>
      <c r="F62" s="41">
        <v>8.85</v>
      </c>
      <c r="G62" s="23">
        <f t="shared" si="0"/>
        <v>8754.99</v>
      </c>
      <c r="H62" s="24">
        <f t="shared" si="1"/>
        <v>8845.01</v>
      </c>
      <c r="I62" s="34">
        <f t="shared" si="4"/>
        <v>90.020000000000437</v>
      </c>
      <c r="J62" s="24">
        <f t="shared" si="5"/>
        <v>9.9999999999999645E-2</v>
      </c>
      <c r="K62" s="23">
        <v>4.99</v>
      </c>
      <c r="L62" s="52"/>
      <c r="M62" s="79"/>
    </row>
    <row r="63" spans="1:15" x14ac:dyDescent="0.25">
      <c r="A63" s="3">
        <v>41988</v>
      </c>
      <c r="B63" s="3"/>
      <c r="C63" s="60" t="s">
        <v>35</v>
      </c>
      <c r="D63" s="63">
        <v>1500</v>
      </c>
      <c r="E63" s="42">
        <v>2.46</v>
      </c>
      <c r="F63" s="42">
        <v>2.57</v>
      </c>
      <c r="G63" s="1">
        <f t="shared" si="0"/>
        <v>3694.99</v>
      </c>
      <c r="H63" s="2">
        <f t="shared" si="1"/>
        <v>3850.0099999999998</v>
      </c>
      <c r="I63" s="20">
        <f t="shared" si="4"/>
        <v>155.01999999999998</v>
      </c>
      <c r="J63" s="2">
        <f t="shared" si="5"/>
        <v>0.10999999999999988</v>
      </c>
      <c r="K63" s="1">
        <v>4.99</v>
      </c>
    </row>
    <row r="64" spans="1:15" s="51" customFormat="1" x14ac:dyDescent="0.25">
      <c r="A64" s="48"/>
      <c r="B64" s="48"/>
      <c r="C64" s="62" t="s">
        <v>38</v>
      </c>
      <c r="D64" s="62">
        <v>1000</v>
      </c>
      <c r="E64" s="42">
        <v>3.13</v>
      </c>
      <c r="F64" s="42">
        <v>3.01</v>
      </c>
      <c r="G64" s="49">
        <f t="shared" si="0"/>
        <v>3134.99</v>
      </c>
      <c r="H64" s="50">
        <f t="shared" si="1"/>
        <v>3005.01</v>
      </c>
      <c r="I64" s="49">
        <f t="shared" si="4"/>
        <v>-129.97999999999956</v>
      </c>
      <c r="J64" s="50">
        <f t="shared" si="5"/>
        <v>-0.12000000000000011</v>
      </c>
      <c r="K64" s="49">
        <v>4.99</v>
      </c>
      <c r="M64" s="80"/>
      <c r="O64" s="49"/>
    </row>
    <row r="65" spans="1:15" x14ac:dyDescent="0.25">
      <c r="A65" s="3"/>
      <c r="B65" s="3"/>
      <c r="C65" s="60" t="s">
        <v>35</v>
      </c>
      <c r="D65" s="63">
        <v>1500</v>
      </c>
      <c r="E65" s="41">
        <v>2.5299999999999998</v>
      </c>
      <c r="F65" s="41">
        <v>2.57</v>
      </c>
      <c r="G65" s="1">
        <f t="shared" si="0"/>
        <v>3799.9899999999993</v>
      </c>
      <c r="H65" s="2">
        <f t="shared" si="1"/>
        <v>3850.0099999999998</v>
      </c>
      <c r="I65" s="20">
        <f t="shared" si="4"/>
        <v>50.020000000000437</v>
      </c>
      <c r="J65" s="2">
        <f t="shared" si="5"/>
        <v>4.0000000000000036E-2</v>
      </c>
      <c r="K65" s="49">
        <v>4.99</v>
      </c>
    </row>
    <row r="66" spans="1:15" x14ac:dyDescent="0.25">
      <c r="A66" s="3"/>
      <c r="B66" s="3"/>
      <c r="C66" s="60" t="s">
        <v>35</v>
      </c>
      <c r="D66" s="63">
        <v>1500</v>
      </c>
      <c r="E66" s="41">
        <v>2.54</v>
      </c>
      <c r="F66" s="41">
        <v>2.44</v>
      </c>
      <c r="G66" s="1">
        <f t="shared" si="0"/>
        <v>3814.99</v>
      </c>
      <c r="H66" s="2">
        <f t="shared" si="1"/>
        <v>3655.01</v>
      </c>
      <c r="I66" s="20">
        <f t="shared" si="4"/>
        <v>-159.97999999999956</v>
      </c>
      <c r="J66" s="2">
        <f t="shared" si="5"/>
        <v>-0.10000000000000009</v>
      </c>
      <c r="K66" s="1">
        <v>4.99</v>
      </c>
    </row>
    <row r="67" spans="1:15" s="51" customFormat="1" x14ac:dyDescent="0.25">
      <c r="A67" s="55"/>
      <c r="B67" s="55"/>
      <c r="C67" s="53" t="s">
        <v>28</v>
      </c>
      <c r="D67" s="54">
        <v>1000</v>
      </c>
      <c r="E67" s="42">
        <v>8.6999999999999993</v>
      </c>
      <c r="F67" s="42"/>
      <c r="G67" s="56">
        <f t="shared" si="0"/>
        <v>8704.99</v>
      </c>
      <c r="H67" s="57">
        <f t="shared" si="1"/>
        <v>0</v>
      </c>
      <c r="I67" s="56">
        <f t="shared" si="4"/>
        <v>0</v>
      </c>
      <c r="J67" s="57">
        <f t="shared" si="5"/>
        <v>0</v>
      </c>
      <c r="K67" s="56">
        <v>4.99</v>
      </c>
      <c r="L67" s="54"/>
      <c r="M67" s="79"/>
      <c r="O67" s="49"/>
    </row>
    <row r="68" spans="1:15" s="7" customFormat="1" x14ac:dyDescent="0.25">
      <c r="A68" s="6">
        <v>41989</v>
      </c>
      <c r="B68" s="6"/>
      <c r="C68" s="60" t="s">
        <v>28</v>
      </c>
      <c r="D68" s="63">
        <v>1000</v>
      </c>
      <c r="E68" s="42">
        <v>8.25</v>
      </c>
      <c r="F68" s="42">
        <v>8.31</v>
      </c>
      <c r="G68" s="20">
        <f t="shared" si="0"/>
        <v>8254.99</v>
      </c>
      <c r="H68" s="8">
        <f t="shared" si="1"/>
        <v>8305.01</v>
      </c>
      <c r="I68" s="20">
        <f t="shared" si="4"/>
        <v>50.020000000000437</v>
      </c>
      <c r="J68" s="8">
        <f t="shared" si="5"/>
        <v>6.0000000000000497E-2</v>
      </c>
      <c r="K68" s="20">
        <v>4.99</v>
      </c>
      <c r="M68" s="81"/>
      <c r="O68" s="20"/>
    </row>
    <row r="69" spans="1:15" s="7" customFormat="1" x14ac:dyDescent="0.25">
      <c r="A69" s="6"/>
      <c r="B69" s="6"/>
      <c r="C69" s="60" t="s">
        <v>38</v>
      </c>
      <c r="D69" s="63">
        <v>1000</v>
      </c>
      <c r="E69" s="42">
        <v>2.81</v>
      </c>
      <c r="F69" s="42">
        <v>2.99</v>
      </c>
      <c r="G69" s="20">
        <f t="shared" si="0"/>
        <v>2814.99</v>
      </c>
      <c r="H69" s="8">
        <f t="shared" si="1"/>
        <v>2985.01</v>
      </c>
      <c r="I69" s="20">
        <f t="shared" si="4"/>
        <v>170.02000000000044</v>
      </c>
      <c r="J69" s="8">
        <f t="shared" si="5"/>
        <v>0.18000000000000016</v>
      </c>
      <c r="K69" s="20">
        <v>4.99</v>
      </c>
      <c r="M69" s="81"/>
      <c r="O69" s="20"/>
    </row>
    <row r="70" spans="1:15" x14ac:dyDescent="0.25">
      <c r="A70" s="3"/>
      <c r="B70" s="3"/>
      <c r="C70" s="60" t="s">
        <v>35</v>
      </c>
      <c r="D70" s="60">
        <v>1500</v>
      </c>
      <c r="E70" s="41">
        <v>2.2799999999999998</v>
      </c>
      <c r="F70" s="41">
        <v>1.88</v>
      </c>
      <c r="G70" s="1">
        <f t="shared" ref="G70:G130" si="6">IF(D70&gt;0,(D70*E70)+K70,0)</f>
        <v>3424.9899999999993</v>
      </c>
      <c r="H70" s="2">
        <f t="shared" ref="H70:H130" si="7">IF(F70&gt;0,(D70*F70)-K70,0)</f>
        <v>2815.01</v>
      </c>
      <c r="I70" s="20">
        <f t="shared" si="4"/>
        <v>-609.97999999999911</v>
      </c>
      <c r="J70" s="2">
        <f t="shared" si="5"/>
        <v>-0.39999999999999991</v>
      </c>
      <c r="K70" s="1">
        <v>4.99</v>
      </c>
    </row>
    <row r="71" spans="1:15" x14ac:dyDescent="0.25">
      <c r="A71" s="3"/>
      <c r="B71" s="3"/>
      <c r="C71" s="60" t="s">
        <v>35</v>
      </c>
      <c r="D71" s="60">
        <v>1500</v>
      </c>
      <c r="E71" s="41">
        <v>1.99</v>
      </c>
      <c r="F71" s="41">
        <v>2.0099999999999998</v>
      </c>
      <c r="G71" s="1">
        <f t="shared" si="6"/>
        <v>2989.99</v>
      </c>
      <c r="H71" s="2">
        <f t="shared" si="7"/>
        <v>3010.0099999999998</v>
      </c>
      <c r="I71" s="20">
        <f t="shared" si="4"/>
        <v>20.019999999999982</v>
      </c>
      <c r="J71" s="2">
        <f t="shared" si="5"/>
        <v>1.9999999999999796E-2</v>
      </c>
      <c r="K71" s="1">
        <v>4.99</v>
      </c>
    </row>
    <row r="72" spans="1:15" s="7" customFormat="1" x14ac:dyDescent="0.25">
      <c r="A72" s="6"/>
      <c r="B72" s="6"/>
      <c r="C72" s="60" t="s">
        <v>28</v>
      </c>
      <c r="D72" s="63">
        <v>1000</v>
      </c>
      <c r="E72" s="42">
        <v>8.2100000000000009</v>
      </c>
      <c r="F72" s="42">
        <v>8.26</v>
      </c>
      <c r="G72" s="20">
        <f t="shared" si="6"/>
        <v>8214.99</v>
      </c>
      <c r="H72" s="8">
        <f t="shared" si="7"/>
        <v>8255.01</v>
      </c>
      <c r="I72" s="20">
        <f t="shared" si="4"/>
        <v>40.020000000000437</v>
      </c>
      <c r="J72" s="8">
        <f t="shared" si="5"/>
        <v>4.9999999999998934E-2</v>
      </c>
      <c r="K72" s="20">
        <v>4.99</v>
      </c>
      <c r="M72" s="81"/>
      <c r="O72" s="20"/>
    </row>
    <row r="73" spans="1:15" x14ac:dyDescent="0.25">
      <c r="A73" s="3"/>
      <c r="B73" s="3"/>
      <c r="C73" s="60" t="s">
        <v>35</v>
      </c>
      <c r="D73" s="60">
        <v>1500</v>
      </c>
      <c r="E73" s="41">
        <v>2</v>
      </c>
      <c r="F73" s="41">
        <v>2.02</v>
      </c>
      <c r="G73" s="1">
        <f t="shared" si="6"/>
        <v>3004.99</v>
      </c>
      <c r="H73" s="2">
        <f t="shared" si="7"/>
        <v>3025.01</v>
      </c>
      <c r="I73" s="20">
        <f t="shared" si="4"/>
        <v>20.020000000000437</v>
      </c>
      <c r="J73" s="2">
        <f t="shared" si="5"/>
        <v>2.0000000000000018E-2</v>
      </c>
      <c r="K73" s="1">
        <v>4.99</v>
      </c>
    </row>
    <row r="74" spans="1:15" x14ac:dyDescent="0.25">
      <c r="A74" s="22"/>
      <c r="B74" s="22"/>
      <c r="C74" s="61" t="s">
        <v>35</v>
      </c>
      <c r="D74" s="61">
        <v>1500</v>
      </c>
      <c r="E74" s="41">
        <v>1.97</v>
      </c>
      <c r="F74" s="41">
        <v>2.0299999999999998</v>
      </c>
      <c r="G74" s="23">
        <f t="shared" si="6"/>
        <v>2959.99</v>
      </c>
      <c r="H74" s="24">
        <f t="shared" si="7"/>
        <v>3040.0099999999998</v>
      </c>
      <c r="I74" s="34">
        <f t="shared" si="4"/>
        <v>80.019999999999982</v>
      </c>
      <c r="J74" s="24">
        <f t="shared" si="5"/>
        <v>5.9999999999999831E-2</v>
      </c>
      <c r="K74" s="23">
        <v>4.99</v>
      </c>
      <c r="L74" s="52"/>
      <c r="M74" s="79"/>
    </row>
    <row r="75" spans="1:15" x14ac:dyDescent="0.25">
      <c r="A75" s="3">
        <v>41990</v>
      </c>
      <c r="B75" s="3"/>
      <c r="C75" s="63" t="s">
        <v>28</v>
      </c>
      <c r="D75" s="63">
        <v>1000</v>
      </c>
      <c r="E75" s="42">
        <v>8.3000000000000007</v>
      </c>
      <c r="F75" s="42">
        <v>8.4</v>
      </c>
      <c r="G75" s="1">
        <f t="shared" si="6"/>
        <v>8304.99</v>
      </c>
      <c r="H75" s="2">
        <f t="shared" si="7"/>
        <v>8395.01</v>
      </c>
      <c r="I75" s="20">
        <f t="shared" si="4"/>
        <v>90.020000000000437</v>
      </c>
      <c r="J75" s="2">
        <f t="shared" si="5"/>
        <v>9.9999999999999645E-2</v>
      </c>
      <c r="K75" s="1">
        <v>4.99</v>
      </c>
    </row>
    <row r="76" spans="1:15" x14ac:dyDescent="0.25">
      <c r="A76" s="3"/>
      <c r="B76" s="3"/>
      <c r="C76" s="63" t="s">
        <v>9</v>
      </c>
      <c r="D76" s="63">
        <v>1000</v>
      </c>
      <c r="E76" s="41">
        <v>4.53</v>
      </c>
      <c r="F76" s="41">
        <v>4.59</v>
      </c>
      <c r="G76" s="1">
        <f t="shared" si="6"/>
        <v>4534.99</v>
      </c>
      <c r="H76" s="2">
        <f t="shared" si="7"/>
        <v>4585.01</v>
      </c>
      <c r="I76" s="20">
        <f t="shared" si="4"/>
        <v>50.020000000000437</v>
      </c>
      <c r="J76" s="2">
        <f t="shared" si="5"/>
        <v>5.9999999999999609E-2</v>
      </c>
      <c r="K76" s="1">
        <v>4.99</v>
      </c>
    </row>
    <row r="77" spans="1:15" s="7" customFormat="1" x14ac:dyDescent="0.25">
      <c r="A77" s="6"/>
      <c r="B77" s="6"/>
      <c r="C77" s="63" t="s">
        <v>30</v>
      </c>
      <c r="D77" s="63">
        <v>1000</v>
      </c>
      <c r="E77" s="42">
        <v>7.34</v>
      </c>
      <c r="F77" s="42">
        <v>7.39</v>
      </c>
      <c r="G77" s="20">
        <f t="shared" si="6"/>
        <v>7344.99</v>
      </c>
      <c r="H77" s="8">
        <f t="shared" si="7"/>
        <v>7385.01</v>
      </c>
      <c r="I77" s="20">
        <f t="shared" si="4"/>
        <v>40.020000000000437</v>
      </c>
      <c r="J77" s="8">
        <f t="shared" si="5"/>
        <v>4.9999999999999822E-2</v>
      </c>
      <c r="K77" s="20">
        <v>4.99</v>
      </c>
      <c r="M77" s="81"/>
      <c r="O77" s="20"/>
    </row>
    <row r="78" spans="1:15" x14ac:dyDescent="0.25">
      <c r="A78" s="3"/>
      <c r="B78" s="3"/>
      <c r="C78" s="63" t="s">
        <v>9</v>
      </c>
      <c r="D78" s="63">
        <v>1000</v>
      </c>
      <c r="E78" s="41">
        <v>4.6500000000000004</v>
      </c>
      <c r="F78" s="41">
        <v>4.7699999999999996</v>
      </c>
      <c r="G78" s="1">
        <f t="shared" si="6"/>
        <v>4654.99</v>
      </c>
      <c r="H78" s="2">
        <f t="shared" si="7"/>
        <v>4765.01</v>
      </c>
      <c r="I78" s="20">
        <f t="shared" si="4"/>
        <v>110.02000000000044</v>
      </c>
      <c r="J78" s="2">
        <f t="shared" si="5"/>
        <v>0.11999999999999922</v>
      </c>
      <c r="K78" s="1">
        <v>4.99</v>
      </c>
    </row>
    <row r="79" spans="1:15" x14ac:dyDescent="0.25">
      <c r="A79" s="22"/>
      <c r="B79" s="22"/>
      <c r="C79" s="61" t="s">
        <v>9</v>
      </c>
      <c r="D79" s="61">
        <v>1000</v>
      </c>
      <c r="E79" s="41">
        <v>4.67</v>
      </c>
      <c r="F79" s="41">
        <v>4.71</v>
      </c>
      <c r="G79" s="23">
        <f t="shared" si="6"/>
        <v>4674.99</v>
      </c>
      <c r="H79" s="24">
        <f t="shared" si="7"/>
        <v>4705.01</v>
      </c>
      <c r="I79" s="34">
        <f t="shared" si="4"/>
        <v>30.020000000000437</v>
      </c>
      <c r="J79" s="24">
        <f t="shared" si="5"/>
        <v>4.0000000000000036E-2</v>
      </c>
      <c r="K79" s="23">
        <v>4.99</v>
      </c>
      <c r="L79" s="52"/>
      <c r="M79" s="79"/>
    </row>
    <row r="80" spans="1:15" s="7" customFormat="1" x14ac:dyDescent="0.25">
      <c r="A80" s="6">
        <v>41991</v>
      </c>
      <c r="B80" s="6"/>
      <c r="C80" s="63" t="s">
        <v>29</v>
      </c>
      <c r="D80" s="63">
        <v>1000</v>
      </c>
      <c r="E80" s="42">
        <v>3.22</v>
      </c>
      <c r="F80" s="42">
        <v>3.32</v>
      </c>
      <c r="G80" s="20">
        <f t="shared" si="6"/>
        <v>3224.99</v>
      </c>
      <c r="H80" s="8">
        <f t="shared" si="7"/>
        <v>3315.01</v>
      </c>
      <c r="I80" s="20">
        <f t="shared" si="4"/>
        <v>90.020000000000437</v>
      </c>
      <c r="J80" s="8">
        <f t="shared" si="5"/>
        <v>9.9999999999999645E-2</v>
      </c>
      <c r="K80" s="20">
        <v>4.99</v>
      </c>
      <c r="M80" s="81"/>
      <c r="O80" s="20"/>
    </row>
    <row r="81" spans="1:15" s="7" customFormat="1" x14ac:dyDescent="0.25">
      <c r="A81" s="6"/>
      <c r="B81" s="6"/>
      <c r="C81" s="63" t="s">
        <v>9</v>
      </c>
      <c r="D81" s="63">
        <v>1000</v>
      </c>
      <c r="E81" s="42">
        <v>5.04</v>
      </c>
      <c r="F81" s="42">
        <v>5.18</v>
      </c>
      <c r="G81" s="20">
        <f t="shared" si="6"/>
        <v>5044.99</v>
      </c>
      <c r="H81" s="8">
        <f t="shared" si="7"/>
        <v>5175.01</v>
      </c>
      <c r="I81" s="20">
        <f t="shared" si="4"/>
        <v>130.02000000000044</v>
      </c>
      <c r="J81" s="8">
        <f t="shared" si="5"/>
        <v>0.13999999999999968</v>
      </c>
      <c r="K81" s="20">
        <v>4.99</v>
      </c>
      <c r="M81" s="81"/>
      <c r="O81" s="20"/>
    </row>
    <row r="82" spans="1:15" x14ac:dyDescent="0.25">
      <c r="A82" s="3"/>
      <c r="B82" s="3"/>
      <c r="C82" s="63" t="s">
        <v>28</v>
      </c>
      <c r="D82" s="63">
        <v>1000</v>
      </c>
      <c r="E82" s="41">
        <v>8.36</v>
      </c>
      <c r="F82" s="41">
        <v>8.3800000000000008</v>
      </c>
      <c r="G82" s="1">
        <f t="shared" si="6"/>
        <v>8364.99</v>
      </c>
      <c r="H82" s="2">
        <f t="shared" si="7"/>
        <v>8375.01</v>
      </c>
      <c r="I82" s="20">
        <f t="shared" si="4"/>
        <v>10.020000000000437</v>
      </c>
      <c r="J82" s="2">
        <f t="shared" si="5"/>
        <v>2.000000000000135E-2</v>
      </c>
      <c r="K82" s="1">
        <v>4.99</v>
      </c>
    </row>
    <row r="83" spans="1:15" s="7" customFormat="1" x14ac:dyDescent="0.25">
      <c r="A83" s="6"/>
      <c r="B83" s="6"/>
      <c r="C83" s="63" t="s">
        <v>9</v>
      </c>
      <c r="D83" s="63">
        <v>1000</v>
      </c>
      <c r="E83" s="42">
        <v>4.9400000000000004</v>
      </c>
      <c r="F83" s="42">
        <v>5.04</v>
      </c>
      <c r="G83" s="20">
        <f t="shared" si="6"/>
        <v>4944.99</v>
      </c>
      <c r="H83" s="8">
        <f t="shared" si="7"/>
        <v>5035.01</v>
      </c>
      <c r="I83" s="20">
        <f t="shared" si="4"/>
        <v>90.020000000000437</v>
      </c>
      <c r="J83" s="8">
        <f t="shared" si="5"/>
        <v>9.9999999999999645E-2</v>
      </c>
      <c r="K83" s="20">
        <v>4.99</v>
      </c>
      <c r="M83" s="81"/>
      <c r="O83" s="20"/>
    </row>
    <row r="84" spans="1:15" s="7" customFormat="1" x14ac:dyDescent="0.25">
      <c r="A84" s="6"/>
      <c r="B84" s="6"/>
      <c r="C84" s="63" t="s">
        <v>28</v>
      </c>
      <c r="D84" s="63">
        <v>1000</v>
      </c>
      <c r="E84" s="42">
        <v>8.24</v>
      </c>
      <c r="F84" s="42">
        <v>8.2799999999999994</v>
      </c>
      <c r="G84" s="20">
        <f t="shared" si="6"/>
        <v>8244.99</v>
      </c>
      <c r="H84" s="8">
        <f t="shared" si="7"/>
        <v>8275.01</v>
      </c>
      <c r="I84" s="20">
        <f t="shared" si="4"/>
        <v>30.020000000000437</v>
      </c>
      <c r="J84" s="8">
        <f t="shared" si="5"/>
        <v>3.9999999999999147E-2</v>
      </c>
      <c r="K84" s="20">
        <v>4.99</v>
      </c>
      <c r="M84" s="81"/>
      <c r="O84" s="20"/>
    </row>
    <row r="85" spans="1:15" s="7" customFormat="1" x14ac:dyDescent="0.25">
      <c r="A85" s="6"/>
      <c r="B85" s="6"/>
      <c r="C85" s="63" t="s">
        <v>29</v>
      </c>
      <c r="D85" s="63">
        <v>1000</v>
      </c>
      <c r="E85" s="42">
        <v>2.94</v>
      </c>
      <c r="F85" s="42">
        <v>3.09</v>
      </c>
      <c r="G85" s="20">
        <f t="shared" si="6"/>
        <v>2944.99</v>
      </c>
      <c r="H85" s="8">
        <f t="shared" si="7"/>
        <v>3085.01</v>
      </c>
      <c r="I85" s="20">
        <f t="shared" si="4"/>
        <v>140.02000000000044</v>
      </c>
      <c r="J85" s="8">
        <f t="shared" si="5"/>
        <v>0.14999999999999991</v>
      </c>
      <c r="K85" s="20">
        <v>4.99</v>
      </c>
      <c r="M85" s="81"/>
      <c r="O85" s="20"/>
    </row>
    <row r="86" spans="1:15" s="7" customFormat="1" x14ac:dyDescent="0.25">
      <c r="A86" s="6"/>
      <c r="B86" s="6"/>
      <c r="C86" s="63" t="s">
        <v>28</v>
      </c>
      <c r="D86" s="63">
        <v>1000</v>
      </c>
      <c r="E86" s="42">
        <v>8.26</v>
      </c>
      <c r="F86" s="42">
        <v>8.32</v>
      </c>
      <c r="G86" s="20">
        <f t="shared" si="6"/>
        <v>8264.99</v>
      </c>
      <c r="H86" s="8">
        <f t="shared" si="7"/>
        <v>8315.01</v>
      </c>
      <c r="I86" s="20">
        <f t="shared" si="4"/>
        <v>50.020000000000437</v>
      </c>
      <c r="J86" s="8">
        <f t="shared" si="5"/>
        <v>6.0000000000000497E-2</v>
      </c>
      <c r="K86" s="20">
        <v>4.99</v>
      </c>
      <c r="M86" s="81"/>
      <c r="O86" s="20"/>
    </row>
    <row r="87" spans="1:15" s="7" customFormat="1" x14ac:dyDescent="0.25">
      <c r="A87" s="46"/>
      <c r="B87" s="46"/>
      <c r="C87" s="61" t="s">
        <v>42</v>
      </c>
      <c r="D87" s="61">
        <v>1500</v>
      </c>
      <c r="E87" s="42">
        <v>2.54</v>
      </c>
      <c r="F87" s="42">
        <v>2.58</v>
      </c>
      <c r="G87" s="34">
        <f t="shared" si="6"/>
        <v>3814.99</v>
      </c>
      <c r="H87" s="25">
        <f t="shared" si="7"/>
        <v>3865.01</v>
      </c>
      <c r="I87" s="34">
        <f t="shared" si="4"/>
        <v>50.020000000000437</v>
      </c>
      <c r="J87" s="25">
        <f t="shared" si="5"/>
        <v>4.0000000000000036E-2</v>
      </c>
      <c r="K87" s="34">
        <v>4.99</v>
      </c>
      <c r="L87" s="52"/>
      <c r="M87" s="79"/>
      <c r="O87" s="20"/>
    </row>
    <row r="88" spans="1:15" s="7" customFormat="1" x14ac:dyDescent="0.25">
      <c r="A88" s="6">
        <v>41992</v>
      </c>
      <c r="B88" s="6"/>
      <c r="C88" s="63" t="s">
        <v>28</v>
      </c>
      <c r="D88" s="63">
        <v>1000</v>
      </c>
      <c r="E88" s="42">
        <v>7.59</v>
      </c>
      <c r="F88" s="42">
        <v>7.71</v>
      </c>
      <c r="G88" s="20">
        <f t="shared" si="6"/>
        <v>7594.99</v>
      </c>
      <c r="H88" s="8">
        <f t="shared" si="7"/>
        <v>7705.01</v>
      </c>
      <c r="I88" s="20">
        <f t="shared" si="4"/>
        <v>110.02000000000044</v>
      </c>
      <c r="J88" s="8">
        <f t="shared" si="5"/>
        <v>0.12000000000000011</v>
      </c>
      <c r="K88" s="20">
        <v>4.99</v>
      </c>
      <c r="L88" s="2"/>
      <c r="M88" s="81"/>
      <c r="O88" s="20"/>
    </row>
    <row r="89" spans="1:15" s="7" customFormat="1" x14ac:dyDescent="0.25">
      <c r="A89" s="6"/>
      <c r="B89" s="6"/>
      <c r="C89" s="63" t="s">
        <v>9</v>
      </c>
      <c r="D89" s="63">
        <v>1000</v>
      </c>
      <c r="E89" s="42">
        <v>5.16</v>
      </c>
      <c r="F89" s="42">
        <v>5.32</v>
      </c>
      <c r="G89" s="20">
        <f t="shared" si="6"/>
        <v>5164.99</v>
      </c>
      <c r="H89" s="8">
        <f t="shared" si="7"/>
        <v>5315.01</v>
      </c>
      <c r="I89" s="20">
        <f t="shared" si="4"/>
        <v>150.02000000000044</v>
      </c>
      <c r="J89" s="8">
        <f t="shared" si="5"/>
        <v>0.16000000000000014</v>
      </c>
      <c r="K89" s="20">
        <v>4.99</v>
      </c>
      <c r="M89" s="81"/>
      <c r="O89" s="20"/>
    </row>
    <row r="90" spans="1:15" s="7" customFormat="1" x14ac:dyDescent="0.25">
      <c r="A90" s="6"/>
      <c r="B90" s="6"/>
      <c r="C90" s="63" t="s">
        <v>9</v>
      </c>
      <c r="D90" s="63">
        <v>1000</v>
      </c>
      <c r="E90" s="42">
        <v>5.3</v>
      </c>
      <c r="F90" s="42">
        <v>5.37</v>
      </c>
      <c r="G90" s="20">
        <f t="shared" si="6"/>
        <v>5304.99</v>
      </c>
      <c r="H90" s="8">
        <f t="shared" si="7"/>
        <v>5365.01</v>
      </c>
      <c r="I90" s="20">
        <f t="shared" ref="I90:I150" si="8">IF(F90&gt;0,H90-G90,0)</f>
        <v>60.020000000000437</v>
      </c>
      <c r="J90" s="8">
        <f t="shared" ref="J90:J150" si="9">IF(F90&gt;0,F90-E90,0)</f>
        <v>7.0000000000000284E-2</v>
      </c>
      <c r="K90" s="20">
        <v>4.99</v>
      </c>
      <c r="M90" s="81"/>
      <c r="O90" s="20"/>
    </row>
    <row r="91" spans="1:15" s="7" customFormat="1" x14ac:dyDescent="0.25">
      <c r="A91" s="6"/>
      <c r="B91" s="6"/>
      <c r="C91" s="63" t="s">
        <v>29</v>
      </c>
      <c r="D91" s="63">
        <v>1000</v>
      </c>
      <c r="E91" s="42">
        <v>3.08</v>
      </c>
      <c r="F91" s="42">
        <v>3.12</v>
      </c>
      <c r="G91" s="20">
        <f t="shared" si="6"/>
        <v>3084.99</v>
      </c>
      <c r="H91" s="8">
        <f t="shared" si="7"/>
        <v>3115.01</v>
      </c>
      <c r="I91" s="20">
        <f t="shared" si="8"/>
        <v>30.020000000000437</v>
      </c>
      <c r="J91" s="8">
        <f t="shared" si="9"/>
        <v>4.0000000000000036E-2</v>
      </c>
      <c r="K91" s="20">
        <v>4.99</v>
      </c>
      <c r="M91" s="81"/>
      <c r="O91" s="20"/>
    </row>
    <row r="92" spans="1:15" s="7" customFormat="1" x14ac:dyDescent="0.25">
      <c r="A92" s="6"/>
      <c r="B92" s="6"/>
      <c r="C92" s="63" t="s">
        <v>42</v>
      </c>
      <c r="D92" s="63">
        <v>1500</v>
      </c>
      <c r="E92" s="42">
        <v>2.58</v>
      </c>
      <c r="F92" s="42">
        <v>2.5099999999999998</v>
      </c>
      <c r="G92" s="20">
        <f t="shared" si="6"/>
        <v>3874.99</v>
      </c>
      <c r="H92" s="8">
        <f t="shared" si="7"/>
        <v>3760.0099999999998</v>
      </c>
      <c r="I92" s="20">
        <f t="shared" si="8"/>
        <v>-114.98000000000002</v>
      </c>
      <c r="J92" s="8">
        <f t="shared" si="9"/>
        <v>-7.0000000000000284E-2</v>
      </c>
      <c r="K92" s="20">
        <v>4.99</v>
      </c>
      <c r="M92" s="81"/>
      <c r="O92" s="20"/>
    </row>
    <row r="93" spans="1:15" s="7" customFormat="1" x14ac:dyDescent="0.25">
      <c r="A93" s="6"/>
      <c r="B93" s="6"/>
      <c r="C93" s="64" t="s">
        <v>28</v>
      </c>
      <c r="D93" s="63">
        <v>1000</v>
      </c>
      <c r="E93" s="42">
        <v>7.65</v>
      </c>
      <c r="F93" s="42"/>
      <c r="G93" s="20">
        <f t="shared" si="6"/>
        <v>7654.99</v>
      </c>
      <c r="H93" s="8">
        <f t="shared" si="7"/>
        <v>0</v>
      </c>
      <c r="I93" s="20">
        <f t="shared" si="8"/>
        <v>0</v>
      </c>
      <c r="J93" s="8">
        <f t="shared" si="9"/>
        <v>0</v>
      </c>
      <c r="K93" s="20">
        <v>4.99</v>
      </c>
      <c r="M93" s="81"/>
      <c r="O93" s="20"/>
    </row>
    <row r="94" spans="1:15" s="7" customFormat="1" x14ac:dyDescent="0.25">
      <c r="A94" s="6"/>
      <c r="B94" s="6"/>
      <c r="C94" s="63" t="s">
        <v>28</v>
      </c>
      <c r="D94" s="63">
        <v>1000</v>
      </c>
      <c r="E94" s="42">
        <v>7.46</v>
      </c>
      <c r="F94" s="42">
        <v>7.48</v>
      </c>
      <c r="G94" s="20">
        <f t="shared" si="6"/>
        <v>7464.99</v>
      </c>
      <c r="H94" s="8">
        <f t="shared" si="7"/>
        <v>7475.01</v>
      </c>
      <c r="I94" s="20">
        <f t="shared" si="8"/>
        <v>10.020000000000437</v>
      </c>
      <c r="J94" s="8">
        <f t="shared" si="9"/>
        <v>2.0000000000000462E-2</v>
      </c>
      <c r="K94" s="20">
        <v>4.99</v>
      </c>
      <c r="M94" s="81"/>
      <c r="O94" s="20"/>
    </row>
    <row r="95" spans="1:15" s="7" customFormat="1" x14ac:dyDescent="0.25">
      <c r="A95" s="46"/>
      <c r="B95" s="46"/>
      <c r="C95" s="65" t="s">
        <v>29</v>
      </c>
      <c r="D95" s="61">
        <v>2000</v>
      </c>
      <c r="E95" s="42">
        <v>3.32</v>
      </c>
      <c r="F95" s="42"/>
      <c r="G95" s="34">
        <f t="shared" si="6"/>
        <v>6644.99</v>
      </c>
      <c r="H95" s="25">
        <f t="shared" si="7"/>
        <v>0</v>
      </c>
      <c r="I95" s="34">
        <f t="shared" si="8"/>
        <v>0</v>
      </c>
      <c r="J95" s="25">
        <f t="shared" si="9"/>
        <v>0</v>
      </c>
      <c r="K95" s="34">
        <v>4.99</v>
      </c>
      <c r="L95" s="54"/>
      <c r="M95" s="79"/>
      <c r="O95" s="20"/>
    </row>
    <row r="96" spans="1:15" x14ac:dyDescent="0.25">
      <c r="A96" s="3">
        <v>357</v>
      </c>
      <c r="B96" s="3"/>
      <c r="C96" s="63" t="s">
        <v>28</v>
      </c>
      <c r="D96" s="63">
        <v>1000</v>
      </c>
      <c r="E96" s="42">
        <v>6.25</v>
      </c>
      <c r="F96" s="42">
        <v>6.31</v>
      </c>
      <c r="G96" s="1">
        <f>IF(D96&gt;0,(D96*E96)+K96,0)</f>
        <v>6254.99</v>
      </c>
      <c r="H96" s="2">
        <f>IF(F96&gt;0,(D96*F96)-K96,0)</f>
        <v>6305.01</v>
      </c>
      <c r="I96" s="20">
        <f>IF(F96&gt;0,H96-G96,0)</f>
        <v>50.020000000000437</v>
      </c>
      <c r="J96" s="2">
        <f>IF(F96&gt;0,F96-E96,0)</f>
        <v>5.9999999999999609E-2</v>
      </c>
      <c r="K96" s="1">
        <v>4.99</v>
      </c>
      <c r="L96" s="2"/>
    </row>
    <row r="97" spans="1:15" x14ac:dyDescent="0.25">
      <c r="A97" s="3"/>
      <c r="B97" s="3"/>
      <c r="C97" s="63" t="s">
        <v>28</v>
      </c>
      <c r="D97" s="63">
        <v>1000</v>
      </c>
      <c r="E97" s="42">
        <v>6.27</v>
      </c>
      <c r="F97" s="42">
        <v>6.34</v>
      </c>
      <c r="G97" s="1">
        <f>IF(D97&gt;0,(D97*E97)+K97,0)</f>
        <v>6274.99</v>
      </c>
      <c r="H97" s="2">
        <f>IF(F97&gt;0,(D97*F97)-K97,0)</f>
        <v>6335.01</v>
      </c>
      <c r="I97" s="20">
        <f>IF(F97&gt;0,H97-G97,0)</f>
        <v>60.020000000000437</v>
      </c>
      <c r="J97" s="2">
        <f>IF(F97&gt;0,F97-E97,0)</f>
        <v>7.0000000000000284E-2</v>
      </c>
      <c r="K97" s="1">
        <v>4.99</v>
      </c>
    </row>
    <row r="98" spans="1:15" x14ac:dyDescent="0.25">
      <c r="A98" s="3"/>
      <c r="B98" s="3"/>
      <c r="C98" s="63" t="s">
        <v>28</v>
      </c>
      <c r="D98" s="63">
        <v>1000</v>
      </c>
      <c r="E98" s="41">
        <v>6.38</v>
      </c>
      <c r="F98" s="41">
        <v>6.46</v>
      </c>
      <c r="G98" s="1">
        <f>IF(D98&gt;0,(D98*E98)+K98,0)</f>
        <v>6384.99</v>
      </c>
      <c r="H98" s="2">
        <f>IF(F98&gt;0,(D98*F98)-K98,0)</f>
        <v>6455.01</v>
      </c>
      <c r="I98" s="20">
        <f>IF(F98&gt;0,H98-G98,0)</f>
        <v>70.020000000000437</v>
      </c>
      <c r="J98" s="2">
        <f>IF(F98&gt;0,F98-E98,0)</f>
        <v>8.0000000000000071E-2</v>
      </c>
      <c r="K98" s="1">
        <v>4.99</v>
      </c>
    </row>
    <row r="99" spans="1:15" x14ac:dyDescent="0.25">
      <c r="A99" s="3"/>
      <c r="B99" s="3"/>
      <c r="C99" s="63" t="s">
        <v>28</v>
      </c>
      <c r="D99" s="63">
        <v>1000</v>
      </c>
      <c r="E99" s="41">
        <v>6.44</v>
      </c>
      <c r="F99" s="41">
        <v>6.54</v>
      </c>
      <c r="G99" s="1">
        <f t="shared" si="6"/>
        <v>6444.99</v>
      </c>
      <c r="H99" s="2">
        <f t="shared" si="7"/>
        <v>6535.01</v>
      </c>
      <c r="I99" s="20">
        <f t="shared" si="8"/>
        <v>90.020000000000437</v>
      </c>
      <c r="J99" s="2">
        <f t="shared" si="9"/>
        <v>9.9999999999999645E-2</v>
      </c>
      <c r="K99" s="1">
        <v>4.99</v>
      </c>
    </row>
    <row r="100" spans="1:15" x14ac:dyDescent="0.25">
      <c r="A100" s="22"/>
      <c r="B100" s="22"/>
      <c r="C100" s="61" t="s">
        <v>28</v>
      </c>
      <c r="D100" s="61">
        <v>1000</v>
      </c>
      <c r="E100" s="41">
        <v>6.39</v>
      </c>
      <c r="F100" s="41">
        <v>6.17</v>
      </c>
      <c r="G100" s="23">
        <f t="shared" si="6"/>
        <v>6394.99</v>
      </c>
      <c r="H100" s="24">
        <f t="shared" si="7"/>
        <v>6165.01</v>
      </c>
      <c r="I100" s="34">
        <f t="shared" si="8"/>
        <v>-229.97999999999956</v>
      </c>
      <c r="J100" s="24">
        <f t="shared" si="9"/>
        <v>-0.21999999999999975</v>
      </c>
      <c r="K100" s="23">
        <v>4.99</v>
      </c>
      <c r="L100" s="52"/>
      <c r="M100" s="79"/>
    </row>
    <row r="101" spans="1:15" x14ac:dyDescent="0.25">
      <c r="A101" s="3">
        <v>42361</v>
      </c>
      <c r="B101" s="3"/>
      <c r="C101" s="63" t="s">
        <v>28</v>
      </c>
      <c r="D101" s="63">
        <v>1000</v>
      </c>
      <c r="E101" s="42">
        <v>6.1</v>
      </c>
      <c r="F101" s="42">
        <v>6</v>
      </c>
      <c r="G101" s="1">
        <f t="shared" si="6"/>
        <v>6104.99</v>
      </c>
      <c r="H101" s="2">
        <f t="shared" si="7"/>
        <v>5995.01</v>
      </c>
      <c r="I101" s="20">
        <f t="shared" si="8"/>
        <v>-109.97999999999956</v>
      </c>
      <c r="J101" s="2">
        <f t="shared" si="9"/>
        <v>-9.9999999999999645E-2</v>
      </c>
      <c r="K101" s="1">
        <v>4.99</v>
      </c>
      <c r="L101" s="2"/>
    </row>
    <row r="102" spans="1:15" x14ac:dyDescent="0.25">
      <c r="A102" s="3"/>
      <c r="B102" s="3"/>
      <c r="C102" s="63" t="s">
        <v>42</v>
      </c>
      <c r="D102" s="63">
        <v>1000</v>
      </c>
      <c r="E102" s="42">
        <v>2.34</v>
      </c>
      <c r="F102" s="42">
        <v>2.35</v>
      </c>
      <c r="G102" s="1">
        <f t="shared" si="6"/>
        <v>2344.9899999999998</v>
      </c>
      <c r="H102" s="2">
        <f t="shared" si="7"/>
        <v>2345.0100000000002</v>
      </c>
      <c r="I102" s="20">
        <f t="shared" si="8"/>
        <v>2.0000000000436557E-2</v>
      </c>
      <c r="J102" s="2">
        <f t="shared" si="9"/>
        <v>1.0000000000000231E-2</v>
      </c>
      <c r="K102" s="1">
        <v>4.99</v>
      </c>
    </row>
    <row r="103" spans="1:15" s="7" customFormat="1" x14ac:dyDescent="0.25">
      <c r="A103" s="6"/>
      <c r="B103" s="6"/>
      <c r="C103" s="63" t="s">
        <v>28</v>
      </c>
      <c r="D103" s="63">
        <v>1000</v>
      </c>
      <c r="E103" s="42">
        <v>6.14</v>
      </c>
      <c r="F103" s="42">
        <v>6.16</v>
      </c>
      <c r="G103" s="20">
        <f t="shared" si="6"/>
        <v>6144.99</v>
      </c>
      <c r="H103" s="8">
        <f t="shared" si="7"/>
        <v>6155.01</v>
      </c>
      <c r="I103" s="20">
        <f t="shared" si="8"/>
        <v>10.020000000000437</v>
      </c>
      <c r="J103" s="8">
        <f t="shared" si="9"/>
        <v>2.0000000000000462E-2</v>
      </c>
      <c r="K103" s="20">
        <v>4.99</v>
      </c>
      <c r="M103" s="81"/>
      <c r="O103" s="20"/>
    </row>
    <row r="104" spans="1:15" x14ac:dyDescent="0.25">
      <c r="A104" s="3"/>
      <c r="B104" s="3"/>
      <c r="C104" s="63" t="s">
        <v>44</v>
      </c>
      <c r="D104" s="63">
        <v>1000</v>
      </c>
      <c r="E104" s="41"/>
      <c r="F104" s="41">
        <v>0.34</v>
      </c>
      <c r="G104" s="1">
        <f t="shared" si="6"/>
        <v>4.99</v>
      </c>
      <c r="H104" s="2">
        <f t="shared" si="7"/>
        <v>335.01</v>
      </c>
      <c r="I104" s="20">
        <f t="shared" si="8"/>
        <v>330.02</v>
      </c>
      <c r="J104" s="2">
        <f t="shared" si="9"/>
        <v>0.34</v>
      </c>
      <c r="K104" s="1">
        <v>4.99</v>
      </c>
    </row>
    <row r="105" spans="1:15" s="7" customFormat="1" x14ac:dyDescent="0.25">
      <c r="A105" s="46"/>
      <c r="B105" s="46"/>
      <c r="C105" s="73" t="s">
        <v>28</v>
      </c>
      <c r="D105" s="61">
        <v>1000</v>
      </c>
      <c r="E105" s="42">
        <v>6.24</v>
      </c>
      <c r="F105" s="42">
        <v>6.06</v>
      </c>
      <c r="G105" s="34">
        <f t="shared" si="6"/>
        <v>6244.99</v>
      </c>
      <c r="H105" s="25">
        <f t="shared" si="7"/>
        <v>6055.01</v>
      </c>
      <c r="I105" s="34">
        <f t="shared" si="8"/>
        <v>-189.97999999999956</v>
      </c>
      <c r="J105" s="25">
        <f t="shared" si="9"/>
        <v>-0.1800000000000006</v>
      </c>
      <c r="K105" s="34">
        <v>4.99</v>
      </c>
      <c r="L105" s="54"/>
      <c r="M105" s="79"/>
      <c r="O105" s="20"/>
    </row>
    <row r="106" spans="1:15" x14ac:dyDescent="0.25">
      <c r="A106" s="3">
        <v>42362</v>
      </c>
      <c r="B106" s="3"/>
      <c r="C106" s="63" t="s">
        <v>42</v>
      </c>
      <c r="D106" s="63">
        <v>1500</v>
      </c>
      <c r="E106" s="42">
        <v>2.41</v>
      </c>
      <c r="F106" s="42">
        <v>2.4500000000000002</v>
      </c>
      <c r="G106" s="1">
        <f t="shared" si="6"/>
        <v>3619.99</v>
      </c>
      <c r="H106" s="2">
        <f t="shared" si="7"/>
        <v>3670.0100000000007</v>
      </c>
      <c r="I106" s="20">
        <f t="shared" si="8"/>
        <v>50.020000000000891</v>
      </c>
      <c r="J106" s="2">
        <f t="shared" si="9"/>
        <v>4.0000000000000036E-2</v>
      </c>
      <c r="K106" s="1">
        <v>4.99</v>
      </c>
    </row>
    <row r="107" spans="1:15" x14ac:dyDescent="0.25">
      <c r="A107" s="3">
        <v>42364</v>
      </c>
      <c r="B107" s="3"/>
      <c r="C107" s="63" t="s">
        <v>42</v>
      </c>
      <c r="D107" s="63">
        <v>1500</v>
      </c>
      <c r="E107" s="41">
        <v>2.44</v>
      </c>
      <c r="F107" s="41">
        <v>2.4700000000000002</v>
      </c>
      <c r="G107" s="1">
        <f t="shared" si="6"/>
        <v>3664.99</v>
      </c>
      <c r="H107" s="2">
        <f t="shared" si="7"/>
        <v>3700.0100000000007</v>
      </c>
      <c r="I107" s="20">
        <f t="shared" si="8"/>
        <v>35.020000000000891</v>
      </c>
      <c r="J107" s="2">
        <f t="shared" si="9"/>
        <v>3.0000000000000249E-2</v>
      </c>
      <c r="K107" s="1">
        <v>4.99</v>
      </c>
    </row>
    <row r="108" spans="1:15" x14ac:dyDescent="0.25">
      <c r="A108" s="3">
        <v>42367</v>
      </c>
      <c r="B108" s="3"/>
      <c r="C108" s="63" t="s">
        <v>42</v>
      </c>
      <c r="D108" s="63">
        <v>1500</v>
      </c>
      <c r="E108" s="41">
        <v>2.4300000000000002</v>
      </c>
      <c r="F108" s="41">
        <v>2.4500000000000002</v>
      </c>
      <c r="G108" s="1">
        <f t="shared" si="6"/>
        <v>3649.9900000000002</v>
      </c>
      <c r="H108" s="2">
        <f t="shared" si="7"/>
        <v>3670.0100000000007</v>
      </c>
      <c r="I108" s="20">
        <f t="shared" si="8"/>
        <v>20.020000000000437</v>
      </c>
      <c r="J108" s="2">
        <f t="shared" si="9"/>
        <v>2.0000000000000018E-2</v>
      </c>
      <c r="K108" s="1">
        <v>4.99</v>
      </c>
    </row>
    <row r="109" spans="1:15" x14ac:dyDescent="0.25">
      <c r="A109" s="3"/>
      <c r="B109" s="3"/>
      <c r="C109" s="63" t="s">
        <v>42</v>
      </c>
      <c r="D109" s="63">
        <v>1500</v>
      </c>
      <c r="E109" s="41">
        <v>2.42</v>
      </c>
      <c r="F109" s="41">
        <v>2.56</v>
      </c>
      <c r="G109" s="1">
        <f t="shared" si="6"/>
        <v>3634.99</v>
      </c>
      <c r="H109" s="2">
        <f t="shared" si="7"/>
        <v>3835.01</v>
      </c>
      <c r="I109" s="20">
        <f t="shared" si="8"/>
        <v>200.02000000000044</v>
      </c>
      <c r="J109" s="2">
        <f t="shared" si="9"/>
        <v>0.14000000000000012</v>
      </c>
      <c r="K109" s="1">
        <v>4.99</v>
      </c>
    </row>
    <row r="110" spans="1:15" x14ac:dyDescent="0.25">
      <c r="A110" s="3">
        <v>42368</v>
      </c>
      <c r="B110" s="3"/>
      <c r="C110" s="63" t="s">
        <v>43</v>
      </c>
      <c r="D110" s="63">
        <v>1000</v>
      </c>
      <c r="E110" s="41">
        <v>4.79</v>
      </c>
      <c r="F110" s="41">
        <v>4.8099999999999996</v>
      </c>
      <c r="G110" s="1">
        <f t="shared" si="6"/>
        <v>4794.99</v>
      </c>
      <c r="H110" s="2">
        <f t="shared" si="7"/>
        <v>4805.01</v>
      </c>
      <c r="I110" s="20">
        <f t="shared" si="8"/>
        <v>10.020000000000437</v>
      </c>
      <c r="J110" s="2">
        <f t="shared" si="9"/>
        <v>1.9999999999999574E-2</v>
      </c>
      <c r="K110" s="1">
        <v>4.99</v>
      </c>
    </row>
    <row r="111" spans="1:15" x14ac:dyDescent="0.25">
      <c r="A111" s="3">
        <v>42369</v>
      </c>
      <c r="B111" s="3"/>
      <c r="C111" s="63" t="s">
        <v>43</v>
      </c>
      <c r="D111" s="63">
        <v>500</v>
      </c>
      <c r="E111" s="41">
        <v>4.38</v>
      </c>
      <c r="F111" s="41">
        <v>4.41</v>
      </c>
      <c r="G111" s="1">
        <f t="shared" si="6"/>
        <v>2194.9899999999998</v>
      </c>
      <c r="H111" s="2">
        <f t="shared" si="7"/>
        <v>2200.0100000000002</v>
      </c>
      <c r="I111" s="20">
        <f t="shared" si="8"/>
        <v>5.0200000000004366</v>
      </c>
      <c r="J111" s="2">
        <f t="shared" si="9"/>
        <v>3.0000000000000249E-2</v>
      </c>
      <c r="K111" s="1">
        <v>4.99</v>
      </c>
    </row>
    <row r="112" spans="1:15" x14ac:dyDescent="0.25">
      <c r="A112" s="3"/>
      <c r="B112" s="3"/>
      <c r="C112" s="63" t="s">
        <v>29</v>
      </c>
      <c r="D112" s="63">
        <v>1000</v>
      </c>
      <c r="E112" s="41">
        <v>2.69</v>
      </c>
      <c r="F112" s="41">
        <v>2.75</v>
      </c>
      <c r="G112" s="1">
        <f t="shared" si="6"/>
        <v>2694.99</v>
      </c>
      <c r="H112" s="2">
        <f t="shared" si="7"/>
        <v>2745.01</v>
      </c>
      <c r="I112" s="20">
        <f t="shared" si="8"/>
        <v>50.020000000000437</v>
      </c>
      <c r="J112" s="2">
        <f t="shared" si="9"/>
        <v>6.0000000000000053E-2</v>
      </c>
      <c r="K112" s="1">
        <v>4.99</v>
      </c>
    </row>
    <row r="113" spans="1:15" x14ac:dyDescent="0.25">
      <c r="A113" s="22"/>
      <c r="B113" s="22"/>
      <c r="C113" s="61" t="s">
        <v>43</v>
      </c>
      <c r="D113" s="61">
        <v>500</v>
      </c>
      <c r="E113" s="41">
        <v>3.99</v>
      </c>
      <c r="F113" s="41">
        <v>4.21</v>
      </c>
      <c r="G113" s="23">
        <f t="shared" si="6"/>
        <v>1999.99</v>
      </c>
      <c r="H113" s="24">
        <f t="shared" si="7"/>
        <v>2100.0100000000002</v>
      </c>
      <c r="I113" s="34">
        <f t="shared" si="8"/>
        <v>100.02000000000021</v>
      </c>
      <c r="J113" s="24">
        <f t="shared" si="9"/>
        <v>0.21999999999999975</v>
      </c>
      <c r="K113" s="23">
        <v>4.99</v>
      </c>
      <c r="L113" s="52"/>
      <c r="M113" s="79"/>
    </row>
    <row r="114" spans="1:15" x14ac:dyDescent="0.25">
      <c r="A114" s="3">
        <v>42006</v>
      </c>
      <c r="B114" s="3"/>
      <c r="C114" s="63" t="s">
        <v>43</v>
      </c>
      <c r="D114" s="63">
        <v>1000</v>
      </c>
      <c r="E114" s="42">
        <v>4.4000000000000004</v>
      </c>
      <c r="F114" s="42">
        <v>4.4400000000000004</v>
      </c>
      <c r="G114" s="1">
        <f t="shared" si="6"/>
        <v>4404.99</v>
      </c>
      <c r="H114" s="2">
        <f t="shared" si="7"/>
        <v>4435.01</v>
      </c>
      <c r="I114" s="20">
        <f t="shared" si="8"/>
        <v>30.020000000000437</v>
      </c>
      <c r="J114" s="2">
        <f t="shared" si="9"/>
        <v>4.0000000000000036E-2</v>
      </c>
      <c r="K114" s="1">
        <v>4.99</v>
      </c>
      <c r="L114" s="2"/>
    </row>
    <row r="115" spans="1:15" x14ac:dyDescent="0.25">
      <c r="A115" s="3"/>
      <c r="B115" s="3"/>
      <c r="C115" s="63" t="s">
        <v>43</v>
      </c>
      <c r="D115" s="63">
        <v>1000</v>
      </c>
      <c r="E115" s="41">
        <v>4.5</v>
      </c>
      <c r="F115" s="41">
        <v>4.55</v>
      </c>
      <c r="G115" s="1">
        <f t="shared" si="6"/>
        <v>4504.99</v>
      </c>
      <c r="H115" s="2">
        <f t="shared" si="7"/>
        <v>4545.01</v>
      </c>
      <c r="I115" s="20">
        <f t="shared" si="8"/>
        <v>40.020000000000437</v>
      </c>
      <c r="J115" s="2">
        <f t="shared" si="9"/>
        <v>4.9999999999999822E-2</v>
      </c>
      <c r="K115" s="1">
        <v>4.99</v>
      </c>
    </row>
    <row r="116" spans="1:15" x14ac:dyDescent="0.25">
      <c r="A116" s="3"/>
      <c r="B116" s="3"/>
      <c r="C116" s="63" t="s">
        <v>29</v>
      </c>
      <c r="D116" s="63">
        <v>1000</v>
      </c>
      <c r="E116" s="41">
        <v>2.72</v>
      </c>
      <c r="F116" s="41"/>
      <c r="G116" s="1">
        <f t="shared" si="6"/>
        <v>2724.99</v>
      </c>
      <c r="H116" s="2">
        <f t="shared" si="7"/>
        <v>0</v>
      </c>
      <c r="I116" s="20">
        <f t="shared" si="8"/>
        <v>0</v>
      </c>
      <c r="J116" s="2">
        <f t="shared" si="9"/>
        <v>0</v>
      </c>
      <c r="K116" s="1">
        <v>4.99</v>
      </c>
    </row>
    <row r="117" spans="1:15" x14ac:dyDescent="0.25">
      <c r="A117" s="3"/>
      <c r="B117" s="3"/>
      <c r="C117" s="63" t="s">
        <v>9</v>
      </c>
      <c r="D117" s="63">
        <v>1000</v>
      </c>
      <c r="E117" s="41">
        <v>5.26</v>
      </c>
      <c r="F117" s="41">
        <v>5.36</v>
      </c>
      <c r="G117" s="1">
        <f t="shared" si="6"/>
        <v>5264.99</v>
      </c>
      <c r="H117" s="2">
        <f t="shared" si="7"/>
        <v>5355.01</v>
      </c>
      <c r="I117" s="20">
        <f t="shared" si="8"/>
        <v>90.020000000000437</v>
      </c>
      <c r="J117" s="2">
        <f t="shared" si="9"/>
        <v>0.10000000000000053</v>
      </c>
      <c r="K117" s="1">
        <v>4.99</v>
      </c>
    </row>
    <row r="118" spans="1:15" x14ac:dyDescent="0.25">
      <c r="A118" s="22"/>
      <c r="B118" s="22"/>
      <c r="C118" s="61" t="s">
        <v>43</v>
      </c>
      <c r="D118" s="61">
        <v>500</v>
      </c>
      <c r="E118" s="41">
        <v>4.2</v>
      </c>
      <c r="F118" s="41">
        <v>4.2300000000000004</v>
      </c>
      <c r="G118" s="23">
        <f>IF(D118&gt;0,(D118*E118)+K118,0)</f>
        <v>2104.9899999999998</v>
      </c>
      <c r="H118" s="24">
        <f>IF(F118&gt;0,(D118*F118)-K118,0)</f>
        <v>2110.0100000000002</v>
      </c>
      <c r="I118" s="34">
        <f>IF(F118&gt;0,H118-G118,0)</f>
        <v>5.0200000000004366</v>
      </c>
      <c r="J118" s="24">
        <f>IF(F118&gt;0,F118-E118,0)</f>
        <v>3.0000000000000249E-2</v>
      </c>
      <c r="K118" s="23">
        <v>4.99</v>
      </c>
      <c r="L118" s="52"/>
      <c r="M118" s="79"/>
    </row>
    <row r="119" spans="1:15" x14ac:dyDescent="0.25">
      <c r="A119" s="3">
        <v>42009</v>
      </c>
      <c r="B119" s="3"/>
      <c r="C119" s="63" t="s">
        <v>45</v>
      </c>
      <c r="D119" s="63">
        <v>500</v>
      </c>
      <c r="E119" s="42">
        <v>4.07</v>
      </c>
      <c r="F119" s="42">
        <v>4.21</v>
      </c>
      <c r="G119" s="1">
        <f>IF(D119&gt;0,(D119*E119)+K119,0)</f>
        <v>2039.9900000000002</v>
      </c>
      <c r="H119" s="2">
        <f>IF(F119&gt;0,(D119*F119)-K119,0)</f>
        <v>2100.0100000000002</v>
      </c>
      <c r="I119" s="20">
        <f>IF(F119&gt;0,H119-G119,0)</f>
        <v>60.019999999999982</v>
      </c>
      <c r="J119" s="2">
        <f>IF(F119&gt;0,F119-E119,0)</f>
        <v>0.13999999999999968</v>
      </c>
      <c r="K119" s="1">
        <v>4.99</v>
      </c>
      <c r="L119" s="2">
        <f>SUM(I119:I125)</f>
        <v>290.08000000000129</v>
      </c>
    </row>
    <row r="120" spans="1:15" s="7" customFormat="1" x14ac:dyDescent="0.25">
      <c r="A120" s="6"/>
      <c r="B120" s="6" t="s">
        <v>34</v>
      </c>
      <c r="C120" s="64" t="s">
        <v>9</v>
      </c>
      <c r="D120" s="63">
        <v>1000</v>
      </c>
      <c r="E120" s="42">
        <v>5.63</v>
      </c>
      <c r="F120" s="42"/>
      <c r="G120" s="20">
        <f>IF(D120&gt;0,(D120*E120)+K120,0)</f>
        <v>5639.99</v>
      </c>
      <c r="H120" s="8">
        <f>IF(F120&gt;0,(D120*F120)-K120,0)</f>
        <v>0</v>
      </c>
      <c r="I120" s="20">
        <f>IF(F120&gt;0,H120-G120,0)</f>
        <v>0</v>
      </c>
      <c r="J120" s="8">
        <f>IF(F120&gt;0,F120-E120,0)</f>
        <v>0</v>
      </c>
      <c r="K120" s="20">
        <v>9.99</v>
      </c>
      <c r="M120" s="81"/>
      <c r="O120" s="20"/>
    </row>
    <row r="121" spans="1:15" x14ac:dyDescent="0.25">
      <c r="A121" s="3"/>
      <c r="B121" s="3" t="s">
        <v>34</v>
      </c>
      <c r="C121" s="64" t="s">
        <v>9</v>
      </c>
      <c r="D121" s="63">
        <v>1000</v>
      </c>
      <c r="E121" s="41">
        <v>5.63</v>
      </c>
      <c r="F121" s="41"/>
      <c r="G121" s="1">
        <f t="shared" si="6"/>
        <v>5639.99</v>
      </c>
      <c r="H121" s="2">
        <f t="shared" si="7"/>
        <v>0</v>
      </c>
      <c r="I121" s="20">
        <f t="shared" si="8"/>
        <v>0</v>
      </c>
      <c r="J121" s="2">
        <f t="shared" si="9"/>
        <v>0</v>
      </c>
      <c r="K121" s="1">
        <v>9.99</v>
      </c>
    </row>
    <row r="122" spans="1:15" x14ac:dyDescent="0.25">
      <c r="A122" s="3"/>
      <c r="B122" s="3" t="s">
        <v>33</v>
      </c>
      <c r="C122" s="63" t="s">
        <v>9</v>
      </c>
      <c r="D122" s="63">
        <v>1000</v>
      </c>
      <c r="E122" s="41">
        <v>5.91</v>
      </c>
      <c r="F122" s="41">
        <v>6.06</v>
      </c>
      <c r="G122" s="1">
        <f t="shared" si="6"/>
        <v>5914.99</v>
      </c>
      <c r="H122" s="2">
        <f t="shared" si="7"/>
        <v>6055.01</v>
      </c>
      <c r="I122" s="20">
        <f t="shared" si="8"/>
        <v>140.02000000000044</v>
      </c>
      <c r="J122" s="2">
        <f t="shared" si="9"/>
        <v>0.14999999999999947</v>
      </c>
      <c r="K122" s="1">
        <v>4.99</v>
      </c>
    </row>
    <row r="123" spans="1:15" x14ac:dyDescent="0.25">
      <c r="A123" s="3"/>
      <c r="B123" s="3" t="s">
        <v>33</v>
      </c>
      <c r="C123" s="63" t="s">
        <v>28</v>
      </c>
      <c r="D123" s="63">
        <v>1000</v>
      </c>
      <c r="E123" s="41">
        <v>12.83</v>
      </c>
      <c r="F123" s="41"/>
      <c r="G123" s="1">
        <f t="shared" si="6"/>
        <v>12834.99</v>
      </c>
      <c r="H123" s="2">
        <f t="shared" si="7"/>
        <v>0</v>
      </c>
      <c r="I123" s="20">
        <f t="shared" si="8"/>
        <v>0</v>
      </c>
      <c r="J123" s="2">
        <f t="shared" si="9"/>
        <v>0</v>
      </c>
      <c r="K123" s="1">
        <v>4.99</v>
      </c>
    </row>
    <row r="124" spans="1:15" x14ac:dyDescent="0.25">
      <c r="A124" s="3"/>
      <c r="B124" s="3" t="s">
        <v>33</v>
      </c>
      <c r="C124" s="63" t="s">
        <v>28</v>
      </c>
      <c r="D124" s="63">
        <v>1000</v>
      </c>
      <c r="E124" s="41">
        <v>4.8499999999999996</v>
      </c>
      <c r="F124" s="41">
        <v>4.9000000000000004</v>
      </c>
      <c r="G124" s="1">
        <f t="shared" si="6"/>
        <v>4854.99</v>
      </c>
      <c r="H124" s="2">
        <f t="shared" si="7"/>
        <v>4895.01</v>
      </c>
      <c r="I124" s="20">
        <f t="shared" si="8"/>
        <v>40.020000000000437</v>
      </c>
      <c r="J124" s="2">
        <f t="shared" si="9"/>
        <v>5.0000000000000711E-2</v>
      </c>
      <c r="K124" s="1">
        <v>4.99</v>
      </c>
    </row>
    <row r="125" spans="1:15" x14ac:dyDescent="0.25">
      <c r="A125" s="22"/>
      <c r="B125" s="22" t="s">
        <v>33</v>
      </c>
      <c r="C125" s="61" t="s">
        <v>29</v>
      </c>
      <c r="D125" s="61">
        <v>1000</v>
      </c>
      <c r="E125" s="41">
        <v>2.2000000000000002</v>
      </c>
      <c r="F125" s="41">
        <v>2.2599999999999998</v>
      </c>
      <c r="G125" s="23">
        <f t="shared" si="6"/>
        <v>2204.9899999999998</v>
      </c>
      <c r="H125" s="24">
        <f t="shared" si="7"/>
        <v>2255.0100000000002</v>
      </c>
      <c r="I125" s="34">
        <f t="shared" si="8"/>
        <v>50.020000000000437</v>
      </c>
      <c r="J125" s="24">
        <f t="shared" si="9"/>
        <v>5.9999999999999609E-2</v>
      </c>
      <c r="K125" s="23">
        <v>4.99</v>
      </c>
      <c r="L125" s="52"/>
      <c r="M125" s="79"/>
    </row>
    <row r="126" spans="1:15" x14ac:dyDescent="0.25">
      <c r="A126" s="3">
        <v>42011</v>
      </c>
      <c r="B126" s="3" t="s">
        <v>33</v>
      </c>
      <c r="C126" s="63" t="s">
        <v>9</v>
      </c>
      <c r="D126" s="63">
        <v>1000</v>
      </c>
      <c r="E126" s="42">
        <v>6.15</v>
      </c>
      <c r="F126" s="42">
        <v>6.27</v>
      </c>
      <c r="G126" s="1">
        <f t="shared" si="6"/>
        <v>6154.99</v>
      </c>
      <c r="H126" s="2">
        <f t="shared" si="7"/>
        <v>6265.01</v>
      </c>
      <c r="I126" s="20">
        <f t="shared" si="8"/>
        <v>110.02000000000044</v>
      </c>
      <c r="J126" s="2">
        <f t="shared" si="9"/>
        <v>0.11999999999999922</v>
      </c>
      <c r="K126" s="1">
        <v>4.99</v>
      </c>
      <c r="L126" s="2">
        <f>SUM(I126:I130)</f>
        <v>210.10000000000218</v>
      </c>
    </row>
    <row r="127" spans="1:15" x14ac:dyDescent="0.25">
      <c r="A127" s="3"/>
      <c r="B127" s="3" t="s">
        <v>33</v>
      </c>
      <c r="C127" s="63" t="s">
        <v>9</v>
      </c>
      <c r="D127" s="63">
        <v>1000</v>
      </c>
      <c r="E127" s="41">
        <v>6.21</v>
      </c>
      <c r="F127" s="41">
        <v>6.32</v>
      </c>
      <c r="G127" s="1">
        <f t="shared" si="6"/>
        <v>6214.99</v>
      </c>
      <c r="H127" s="2">
        <f t="shared" si="7"/>
        <v>6315.01</v>
      </c>
      <c r="I127" s="20">
        <f t="shared" si="8"/>
        <v>100.02000000000044</v>
      </c>
      <c r="J127" s="2">
        <f t="shared" si="9"/>
        <v>0.11000000000000032</v>
      </c>
      <c r="K127" s="1">
        <v>4.99</v>
      </c>
    </row>
    <row r="128" spans="1:15" x14ac:dyDescent="0.25">
      <c r="A128" s="3"/>
      <c r="B128" s="3" t="s">
        <v>33</v>
      </c>
      <c r="C128" s="63" t="s">
        <v>29</v>
      </c>
      <c r="D128" s="63">
        <v>1000</v>
      </c>
      <c r="E128" s="41">
        <v>2.2400000000000002</v>
      </c>
      <c r="F128" s="41">
        <v>2.25</v>
      </c>
      <c r="G128" s="1">
        <f t="shared" si="6"/>
        <v>2244.9899999999998</v>
      </c>
      <c r="H128" s="2">
        <f t="shared" si="7"/>
        <v>2245.0100000000002</v>
      </c>
      <c r="I128" s="20">
        <f t="shared" si="8"/>
        <v>2.0000000000436557E-2</v>
      </c>
      <c r="J128" s="2">
        <f t="shared" si="9"/>
        <v>9.9999999999997868E-3</v>
      </c>
      <c r="K128" s="1">
        <v>4.99</v>
      </c>
    </row>
    <row r="129" spans="1:13" x14ac:dyDescent="0.25">
      <c r="A129" s="3"/>
      <c r="B129" s="3" t="s">
        <v>33</v>
      </c>
      <c r="C129" s="63" t="s">
        <v>9</v>
      </c>
      <c r="D129" s="63">
        <v>1000</v>
      </c>
      <c r="E129" s="41">
        <v>6.41</v>
      </c>
      <c r="F129" s="41">
        <v>6.46</v>
      </c>
      <c r="G129" s="1">
        <f t="shared" si="6"/>
        <v>6414.99</v>
      </c>
      <c r="H129" s="2">
        <f t="shared" si="7"/>
        <v>6455.01</v>
      </c>
      <c r="I129" s="20">
        <f t="shared" si="8"/>
        <v>40.020000000000437</v>
      </c>
      <c r="J129" s="2">
        <f t="shared" si="9"/>
        <v>4.9999999999999822E-2</v>
      </c>
      <c r="K129" s="1">
        <v>4.99</v>
      </c>
    </row>
    <row r="130" spans="1:13" x14ac:dyDescent="0.25">
      <c r="A130" s="22"/>
      <c r="B130" s="22"/>
      <c r="C130" s="61" t="s">
        <v>28</v>
      </c>
      <c r="D130" s="61">
        <v>1000</v>
      </c>
      <c r="E130" s="41">
        <v>4.95</v>
      </c>
      <c r="F130" s="41">
        <v>4.92</v>
      </c>
      <c r="G130" s="23">
        <f t="shared" si="6"/>
        <v>4954.99</v>
      </c>
      <c r="H130" s="24">
        <f t="shared" si="7"/>
        <v>4915.01</v>
      </c>
      <c r="I130" s="34">
        <f t="shared" si="8"/>
        <v>-39.979999999999563</v>
      </c>
      <c r="J130" s="24">
        <f t="shared" si="9"/>
        <v>-3.0000000000000249E-2</v>
      </c>
      <c r="K130" s="23">
        <v>4.99</v>
      </c>
      <c r="L130" s="52"/>
      <c r="M130" s="79"/>
    </row>
    <row r="131" spans="1:13" x14ac:dyDescent="0.25">
      <c r="A131" s="3">
        <v>42012</v>
      </c>
      <c r="B131" s="3"/>
      <c r="C131" s="63" t="s">
        <v>9</v>
      </c>
      <c r="D131" s="63">
        <v>1000</v>
      </c>
      <c r="E131" s="42">
        <v>6.31</v>
      </c>
      <c r="F131" s="42">
        <v>6.36</v>
      </c>
      <c r="G131" s="1">
        <f t="shared" ref="G131:G194" si="10">IF(D131&gt;0,(D131*E131)+K131,0)</f>
        <v>6314.99</v>
      </c>
      <c r="H131" s="2">
        <f t="shared" ref="H131:H194" si="11">IF(F131&gt;0,(D131*F131)-K131,0)</f>
        <v>6355.01</v>
      </c>
      <c r="I131" s="20">
        <f t="shared" si="8"/>
        <v>40.020000000000437</v>
      </c>
      <c r="J131" s="2">
        <f t="shared" si="9"/>
        <v>5.0000000000000711E-2</v>
      </c>
      <c r="K131" s="1">
        <v>4.99</v>
      </c>
      <c r="L131" s="2">
        <f>SUM(I131:I136)</f>
        <v>520.12000000000216</v>
      </c>
    </row>
    <row r="132" spans="1:13" x14ac:dyDescent="0.25">
      <c r="A132" s="3"/>
      <c r="B132" s="3"/>
      <c r="C132" s="63" t="s">
        <v>9</v>
      </c>
      <c r="D132" s="63">
        <v>1000</v>
      </c>
      <c r="E132" s="41">
        <v>6.26</v>
      </c>
      <c r="F132" s="41">
        <v>6.28</v>
      </c>
      <c r="G132" s="1">
        <f t="shared" si="10"/>
        <v>6264.99</v>
      </c>
      <c r="H132" s="2">
        <f t="shared" si="11"/>
        <v>6275.01</v>
      </c>
      <c r="I132" s="20">
        <f t="shared" si="8"/>
        <v>10.020000000000437</v>
      </c>
      <c r="J132" s="2">
        <f t="shared" si="9"/>
        <v>2.0000000000000462E-2</v>
      </c>
      <c r="K132" s="1">
        <v>4.99</v>
      </c>
    </row>
    <row r="133" spans="1:13" x14ac:dyDescent="0.25">
      <c r="A133" s="3"/>
      <c r="B133" s="3"/>
      <c r="C133" s="63" t="s">
        <v>28</v>
      </c>
      <c r="D133" s="63">
        <v>1000</v>
      </c>
      <c r="E133" s="41">
        <v>4.9000000000000004</v>
      </c>
      <c r="F133" s="41">
        <v>5.0599999999999996</v>
      </c>
      <c r="G133" s="1">
        <f t="shared" si="10"/>
        <v>4904.99</v>
      </c>
      <c r="H133" s="2">
        <f t="shared" si="11"/>
        <v>5055.01</v>
      </c>
      <c r="I133" s="20">
        <f t="shared" si="8"/>
        <v>150.02000000000044</v>
      </c>
      <c r="J133" s="2">
        <f t="shared" si="9"/>
        <v>0.15999999999999925</v>
      </c>
      <c r="K133" s="1">
        <v>4.99</v>
      </c>
    </row>
    <row r="134" spans="1:13" x14ac:dyDescent="0.25">
      <c r="A134" s="3"/>
      <c r="B134" s="3"/>
      <c r="C134" s="63" t="s">
        <v>28</v>
      </c>
      <c r="D134" s="63">
        <v>1000</v>
      </c>
      <c r="E134" s="41">
        <v>5.0599999999999996</v>
      </c>
      <c r="F134" s="41">
        <v>5.09</v>
      </c>
      <c r="G134" s="1">
        <f t="shared" si="10"/>
        <v>5064.99</v>
      </c>
      <c r="H134" s="2">
        <f t="shared" si="11"/>
        <v>5085.01</v>
      </c>
      <c r="I134" s="20">
        <f t="shared" si="8"/>
        <v>20.020000000000437</v>
      </c>
      <c r="J134" s="2">
        <f t="shared" si="9"/>
        <v>3.0000000000000249E-2</v>
      </c>
      <c r="K134" s="1">
        <v>4.99</v>
      </c>
    </row>
    <row r="135" spans="1:13" x14ac:dyDescent="0.25">
      <c r="A135" s="3"/>
      <c r="B135" s="3"/>
      <c r="C135" s="63" t="s">
        <v>45</v>
      </c>
      <c r="D135" s="63">
        <v>500</v>
      </c>
      <c r="E135" s="41">
        <v>3.41</v>
      </c>
      <c r="F135" s="41">
        <v>3.57</v>
      </c>
      <c r="G135" s="1">
        <f t="shared" si="10"/>
        <v>1709.99</v>
      </c>
      <c r="H135" s="2">
        <f t="shared" si="11"/>
        <v>1780.01</v>
      </c>
      <c r="I135" s="20">
        <f t="shared" si="8"/>
        <v>70.019999999999982</v>
      </c>
      <c r="J135" s="2">
        <f t="shared" si="9"/>
        <v>0.1599999999999997</v>
      </c>
      <c r="K135" s="1">
        <v>4.99</v>
      </c>
    </row>
    <row r="136" spans="1:13" x14ac:dyDescent="0.25">
      <c r="A136" s="22"/>
      <c r="B136" s="22"/>
      <c r="C136" s="61" t="s">
        <v>9</v>
      </c>
      <c r="D136" s="61">
        <v>1000</v>
      </c>
      <c r="E136" s="41">
        <v>6.15</v>
      </c>
      <c r="F136" s="41">
        <v>6.39</v>
      </c>
      <c r="G136" s="23">
        <f t="shared" si="10"/>
        <v>6154.99</v>
      </c>
      <c r="H136" s="24">
        <f t="shared" si="11"/>
        <v>6385.01</v>
      </c>
      <c r="I136" s="34">
        <f t="shared" si="8"/>
        <v>230.02000000000044</v>
      </c>
      <c r="J136" s="24">
        <f t="shared" si="9"/>
        <v>0.23999999999999932</v>
      </c>
      <c r="K136" s="23">
        <v>4.99</v>
      </c>
      <c r="L136" s="52"/>
      <c r="M136" s="79"/>
    </row>
    <row r="137" spans="1:13" x14ac:dyDescent="0.25">
      <c r="A137" s="3">
        <v>42013</v>
      </c>
      <c r="B137" s="3"/>
      <c r="C137" s="63" t="s">
        <v>45</v>
      </c>
      <c r="D137" s="63">
        <v>500</v>
      </c>
      <c r="E137" s="42">
        <v>3.37</v>
      </c>
      <c r="F137" s="42">
        <v>3.48</v>
      </c>
      <c r="G137" s="1">
        <f t="shared" si="10"/>
        <v>1689.99</v>
      </c>
      <c r="H137" s="2">
        <f t="shared" si="11"/>
        <v>1735.01</v>
      </c>
      <c r="I137" s="20">
        <f t="shared" si="8"/>
        <v>45.019999999999982</v>
      </c>
      <c r="J137" s="2">
        <f t="shared" si="9"/>
        <v>0.10999999999999988</v>
      </c>
      <c r="K137" s="1">
        <v>4.99</v>
      </c>
      <c r="L137" s="2">
        <f>SUM(I137:I141)</f>
        <v>-119.89999999999895</v>
      </c>
    </row>
    <row r="138" spans="1:13" x14ac:dyDescent="0.25">
      <c r="A138" s="3"/>
      <c r="B138" s="3"/>
      <c r="C138" s="72" t="s">
        <v>45</v>
      </c>
      <c r="D138" s="63">
        <v>500</v>
      </c>
      <c r="E138" s="41">
        <v>4.07</v>
      </c>
      <c r="F138" s="41">
        <v>3.26</v>
      </c>
      <c r="G138" s="1">
        <f t="shared" si="10"/>
        <v>2039.9900000000002</v>
      </c>
      <c r="H138" s="2">
        <f t="shared" si="11"/>
        <v>1625.01</v>
      </c>
      <c r="I138" s="20">
        <f t="shared" si="8"/>
        <v>-414.98000000000025</v>
      </c>
      <c r="J138" s="2">
        <f t="shared" si="9"/>
        <v>-0.8100000000000005</v>
      </c>
      <c r="K138" s="1">
        <v>4.99</v>
      </c>
    </row>
    <row r="139" spans="1:13" x14ac:dyDescent="0.25">
      <c r="A139" s="3"/>
      <c r="B139" s="3"/>
      <c r="C139" s="63" t="s">
        <v>28</v>
      </c>
      <c r="D139" s="63">
        <v>1000</v>
      </c>
      <c r="E139" s="41">
        <v>5.04</v>
      </c>
      <c r="F139" s="41">
        <v>5.2</v>
      </c>
      <c r="G139" s="1">
        <f t="shared" si="10"/>
        <v>5044.99</v>
      </c>
      <c r="H139" s="2">
        <f t="shared" si="11"/>
        <v>5195.01</v>
      </c>
      <c r="I139" s="20">
        <f t="shared" si="8"/>
        <v>150.02000000000044</v>
      </c>
      <c r="J139" s="2">
        <f t="shared" si="9"/>
        <v>0.16000000000000014</v>
      </c>
      <c r="K139" s="1">
        <v>4.99</v>
      </c>
    </row>
    <row r="140" spans="1:13" x14ac:dyDescent="0.25">
      <c r="A140" s="3"/>
      <c r="B140" s="3"/>
      <c r="C140" s="63" t="s">
        <v>43</v>
      </c>
      <c r="D140" s="63">
        <v>500</v>
      </c>
      <c r="E140" s="41">
        <v>4.2</v>
      </c>
      <c r="F140" s="41">
        <v>4.42</v>
      </c>
      <c r="G140" s="1">
        <f t="shared" si="10"/>
        <v>2104.9899999999998</v>
      </c>
      <c r="H140" s="2">
        <f t="shared" si="11"/>
        <v>2205.0100000000002</v>
      </c>
      <c r="I140" s="20">
        <f t="shared" si="8"/>
        <v>100.02000000000044</v>
      </c>
      <c r="J140" s="2">
        <f t="shared" si="9"/>
        <v>0.21999999999999975</v>
      </c>
      <c r="K140" s="1">
        <v>4.99</v>
      </c>
    </row>
    <row r="141" spans="1:13" x14ac:dyDescent="0.25">
      <c r="A141" s="22"/>
      <c r="B141" s="22"/>
      <c r="C141" s="61" t="s">
        <v>42</v>
      </c>
      <c r="D141" s="61">
        <v>1000</v>
      </c>
      <c r="E141" s="41">
        <v>2.93</v>
      </c>
      <c r="F141" s="41">
        <v>2.94</v>
      </c>
      <c r="G141" s="23">
        <f t="shared" si="10"/>
        <v>2934.99</v>
      </c>
      <c r="H141" s="24">
        <f t="shared" si="11"/>
        <v>2935.01</v>
      </c>
      <c r="I141" s="34">
        <f t="shared" si="8"/>
        <v>2.0000000000436557E-2</v>
      </c>
      <c r="J141" s="24">
        <f t="shared" si="9"/>
        <v>9.9999999999997868E-3</v>
      </c>
      <c r="K141" s="23">
        <v>4.99</v>
      </c>
      <c r="L141" s="52"/>
      <c r="M141" s="79"/>
    </row>
    <row r="142" spans="1:13" x14ac:dyDescent="0.25">
      <c r="A142" s="3">
        <v>42016</v>
      </c>
      <c r="B142" s="3"/>
      <c r="C142" s="64" t="s">
        <v>43</v>
      </c>
      <c r="D142" s="63">
        <v>500</v>
      </c>
      <c r="E142" s="42">
        <v>3.65</v>
      </c>
      <c r="F142" s="42">
        <v>3.73</v>
      </c>
      <c r="G142" s="1">
        <f t="shared" si="10"/>
        <v>1829.99</v>
      </c>
      <c r="H142" s="2">
        <f t="shared" si="11"/>
        <v>1860.01</v>
      </c>
      <c r="I142" s="20">
        <f t="shared" si="8"/>
        <v>30.019999999999982</v>
      </c>
      <c r="J142" s="2">
        <f t="shared" si="9"/>
        <v>8.0000000000000071E-2</v>
      </c>
      <c r="K142" s="1">
        <v>4.99</v>
      </c>
      <c r="L142" s="2">
        <f>SUM(I142:I145)</f>
        <v>180.08000000000129</v>
      </c>
    </row>
    <row r="143" spans="1:13" x14ac:dyDescent="0.25">
      <c r="A143" s="3"/>
      <c r="B143" s="3"/>
      <c r="C143" s="63" t="s">
        <v>9</v>
      </c>
      <c r="D143" s="63">
        <v>500</v>
      </c>
      <c r="E143" s="41">
        <v>7.18</v>
      </c>
      <c r="F143" s="41">
        <v>7.24</v>
      </c>
      <c r="G143" s="1">
        <f t="shared" si="10"/>
        <v>3594.99</v>
      </c>
      <c r="H143" s="2">
        <f t="shared" si="11"/>
        <v>3615.01</v>
      </c>
      <c r="I143" s="20">
        <f t="shared" si="8"/>
        <v>20.020000000000437</v>
      </c>
      <c r="J143" s="2">
        <f t="shared" si="9"/>
        <v>6.0000000000000497E-2</v>
      </c>
      <c r="K143" s="1">
        <v>4.99</v>
      </c>
    </row>
    <row r="144" spans="1:13" x14ac:dyDescent="0.25">
      <c r="A144" s="3"/>
      <c r="B144" s="3" t="s">
        <v>33</v>
      </c>
      <c r="C144" s="63" t="s">
        <v>28</v>
      </c>
      <c r="D144" s="63">
        <v>1000</v>
      </c>
      <c r="E144" s="41">
        <v>4.63</v>
      </c>
      <c r="F144" s="41">
        <v>4.8</v>
      </c>
      <c r="G144" s="1">
        <f t="shared" si="10"/>
        <v>4634.99</v>
      </c>
      <c r="H144" s="2">
        <f t="shared" si="11"/>
        <v>4795.01</v>
      </c>
      <c r="I144" s="20">
        <f t="shared" si="8"/>
        <v>160.02000000000044</v>
      </c>
      <c r="J144" s="2">
        <f t="shared" si="9"/>
        <v>0.16999999999999993</v>
      </c>
      <c r="K144" s="1">
        <v>4.99</v>
      </c>
    </row>
    <row r="145" spans="1:13" x14ac:dyDescent="0.25">
      <c r="A145" s="22"/>
      <c r="B145" s="22"/>
      <c r="C145" s="61" t="s">
        <v>9</v>
      </c>
      <c r="D145" s="61">
        <v>500</v>
      </c>
      <c r="E145" s="41">
        <v>7.18</v>
      </c>
      <c r="F145" s="41">
        <v>7.14</v>
      </c>
      <c r="G145" s="23">
        <f t="shared" si="10"/>
        <v>3594.99</v>
      </c>
      <c r="H145" s="24">
        <f t="shared" si="11"/>
        <v>3565.01</v>
      </c>
      <c r="I145" s="34">
        <f t="shared" si="8"/>
        <v>-29.979999999999563</v>
      </c>
      <c r="J145" s="24">
        <f t="shared" si="9"/>
        <v>-4.0000000000000036E-2</v>
      </c>
      <c r="K145" s="23">
        <v>4.99</v>
      </c>
      <c r="L145" s="52"/>
      <c r="M145" s="79"/>
    </row>
    <row r="146" spans="1:13" x14ac:dyDescent="0.25">
      <c r="A146" s="3">
        <v>42017</v>
      </c>
      <c r="B146" s="3"/>
      <c r="C146" s="63" t="s">
        <v>9</v>
      </c>
      <c r="D146" s="63">
        <v>500</v>
      </c>
      <c r="E146" s="42">
        <v>7.08</v>
      </c>
      <c r="F146" s="42">
        <v>7.14</v>
      </c>
      <c r="G146" s="1">
        <f t="shared" si="10"/>
        <v>3544.99</v>
      </c>
      <c r="H146" s="2">
        <f t="shared" si="11"/>
        <v>3565.01</v>
      </c>
      <c r="I146" s="20">
        <f t="shared" si="8"/>
        <v>20.020000000000437</v>
      </c>
      <c r="J146" s="2">
        <f t="shared" si="9"/>
        <v>5.9999999999999609E-2</v>
      </c>
      <c r="K146" s="1">
        <v>4.99</v>
      </c>
      <c r="L146" s="2">
        <f>SUM(I146:I149)</f>
        <v>345.08000000000129</v>
      </c>
    </row>
    <row r="147" spans="1:13" x14ac:dyDescent="0.25">
      <c r="A147" s="3"/>
      <c r="B147" s="3" t="s">
        <v>33</v>
      </c>
      <c r="C147" s="63" t="s">
        <v>9</v>
      </c>
      <c r="D147" s="63">
        <v>700</v>
      </c>
      <c r="E147" s="41">
        <v>6.86</v>
      </c>
      <c r="F147" s="41">
        <v>6.96</v>
      </c>
      <c r="G147" s="1">
        <f t="shared" si="10"/>
        <v>4806.99</v>
      </c>
      <c r="H147" s="2">
        <f t="shared" si="11"/>
        <v>4867.01</v>
      </c>
      <c r="I147" s="20">
        <f t="shared" si="8"/>
        <v>60.020000000000437</v>
      </c>
      <c r="J147" s="2">
        <f t="shared" si="9"/>
        <v>9.9999999999999645E-2</v>
      </c>
      <c r="K147" s="1">
        <v>4.99</v>
      </c>
    </row>
    <row r="148" spans="1:13" x14ac:dyDescent="0.25">
      <c r="A148" s="3"/>
      <c r="B148" s="3" t="s">
        <v>33</v>
      </c>
      <c r="C148" s="63" t="s">
        <v>9</v>
      </c>
      <c r="D148" s="63">
        <v>700</v>
      </c>
      <c r="E148" s="41">
        <v>6.86</v>
      </c>
      <c r="F148" s="41">
        <v>7.16</v>
      </c>
      <c r="G148" s="1">
        <f t="shared" si="10"/>
        <v>4806.99</v>
      </c>
      <c r="H148" s="2">
        <f t="shared" si="11"/>
        <v>5007.01</v>
      </c>
      <c r="I148" s="20">
        <f t="shared" si="8"/>
        <v>200.02000000000044</v>
      </c>
      <c r="J148" s="2">
        <f t="shared" si="9"/>
        <v>0.29999999999999982</v>
      </c>
      <c r="K148" s="1">
        <v>4.99</v>
      </c>
    </row>
    <row r="149" spans="1:13" x14ac:dyDescent="0.25">
      <c r="A149" s="22"/>
      <c r="B149" s="22"/>
      <c r="C149" s="61" t="s">
        <v>45</v>
      </c>
      <c r="D149" s="61">
        <v>500</v>
      </c>
      <c r="E149" s="41">
        <v>3.1</v>
      </c>
      <c r="F149" s="41">
        <v>3.26</v>
      </c>
      <c r="G149" s="23">
        <f t="shared" si="10"/>
        <v>1557.49</v>
      </c>
      <c r="H149" s="24">
        <f t="shared" si="11"/>
        <v>1622.51</v>
      </c>
      <c r="I149" s="34">
        <f t="shared" si="8"/>
        <v>65.019999999999982</v>
      </c>
      <c r="J149" s="24">
        <f t="shared" si="9"/>
        <v>0.1599999999999997</v>
      </c>
      <c r="K149" s="23">
        <v>7.49</v>
      </c>
      <c r="L149" s="52"/>
      <c r="M149" s="79"/>
    </row>
    <row r="150" spans="1:13" x14ac:dyDescent="0.25">
      <c r="A150" s="3">
        <v>42018</v>
      </c>
      <c r="B150" s="3"/>
      <c r="C150" s="63" t="s">
        <v>43</v>
      </c>
      <c r="D150" s="63">
        <v>1000</v>
      </c>
      <c r="E150" s="42">
        <v>4.5</v>
      </c>
      <c r="F150" s="42">
        <v>4.55</v>
      </c>
      <c r="G150" s="1">
        <f t="shared" si="10"/>
        <v>4504.99</v>
      </c>
      <c r="H150" s="2">
        <f t="shared" si="11"/>
        <v>4545.01</v>
      </c>
      <c r="I150" s="20">
        <f t="shared" si="8"/>
        <v>40.020000000000437</v>
      </c>
      <c r="J150" s="2">
        <f t="shared" si="9"/>
        <v>4.9999999999999822E-2</v>
      </c>
      <c r="K150" s="1">
        <v>4.99</v>
      </c>
      <c r="L150" s="2">
        <f>SUM(I150:I157)</f>
        <v>255.16000000000304</v>
      </c>
    </row>
    <row r="151" spans="1:13" x14ac:dyDescent="0.25">
      <c r="A151" s="3"/>
      <c r="B151" s="3"/>
      <c r="C151" s="63" t="s">
        <v>43</v>
      </c>
      <c r="D151" s="63">
        <v>1000</v>
      </c>
      <c r="E151" s="41">
        <v>4.62</v>
      </c>
      <c r="F151" s="41">
        <v>4.63</v>
      </c>
      <c r="G151" s="1">
        <f t="shared" si="10"/>
        <v>4624.99</v>
      </c>
      <c r="H151" s="2">
        <f t="shared" si="11"/>
        <v>4625.01</v>
      </c>
      <c r="I151" s="20">
        <f t="shared" ref="I151:I214" si="12">IF(F151&gt;0,H151-G151,0)</f>
        <v>2.0000000000436557E-2</v>
      </c>
      <c r="J151" s="2">
        <f t="shared" ref="J151:J214" si="13">IF(F151&gt;0,F151-E151,0)</f>
        <v>9.9999999999997868E-3</v>
      </c>
      <c r="K151" s="1">
        <v>4.99</v>
      </c>
    </row>
    <row r="152" spans="1:13" x14ac:dyDescent="0.25">
      <c r="A152" s="3"/>
      <c r="B152" s="3"/>
      <c r="C152" s="63" t="s">
        <v>43</v>
      </c>
      <c r="D152" s="63">
        <v>500</v>
      </c>
      <c r="E152" s="41">
        <v>4.55</v>
      </c>
      <c r="F152" s="41">
        <v>4.62</v>
      </c>
      <c r="G152" s="1">
        <f t="shared" si="10"/>
        <v>2279.9899999999998</v>
      </c>
      <c r="H152" s="2">
        <f t="shared" si="11"/>
        <v>2305.0100000000002</v>
      </c>
      <c r="I152" s="20">
        <f t="shared" si="12"/>
        <v>25.020000000000437</v>
      </c>
      <c r="J152" s="2">
        <f t="shared" si="13"/>
        <v>7.0000000000000284E-2</v>
      </c>
      <c r="K152" s="1">
        <v>4.99</v>
      </c>
    </row>
    <row r="153" spans="1:13" x14ac:dyDescent="0.25">
      <c r="A153" s="3"/>
      <c r="B153" s="3"/>
      <c r="C153" s="63" t="s">
        <v>45</v>
      </c>
      <c r="D153" s="63">
        <v>500</v>
      </c>
      <c r="E153" s="41">
        <v>2.91</v>
      </c>
      <c r="F153" s="41">
        <v>3.01</v>
      </c>
      <c r="G153" s="1">
        <f t="shared" si="10"/>
        <v>1459.99</v>
      </c>
      <c r="H153" s="2">
        <f t="shared" si="11"/>
        <v>1500.01</v>
      </c>
      <c r="I153" s="20">
        <f t="shared" si="12"/>
        <v>40.019999999999982</v>
      </c>
      <c r="J153" s="2">
        <f t="shared" si="13"/>
        <v>9.9999999999999645E-2</v>
      </c>
      <c r="K153" s="1">
        <v>4.99</v>
      </c>
    </row>
    <row r="154" spans="1:13" x14ac:dyDescent="0.25">
      <c r="A154" s="3"/>
      <c r="B154" s="3"/>
      <c r="C154" s="63" t="s">
        <v>45</v>
      </c>
      <c r="D154" s="63">
        <v>1000</v>
      </c>
      <c r="E154" s="41">
        <v>3.02</v>
      </c>
      <c r="F154" s="41">
        <v>3.03</v>
      </c>
      <c r="G154" s="1">
        <f t="shared" si="10"/>
        <v>3024.99</v>
      </c>
      <c r="H154" s="2">
        <f t="shared" si="11"/>
        <v>3025.01</v>
      </c>
      <c r="I154" s="20">
        <f t="shared" si="12"/>
        <v>2.0000000000436557E-2</v>
      </c>
      <c r="J154" s="2">
        <f t="shared" si="13"/>
        <v>9.9999999999997868E-3</v>
      </c>
      <c r="K154" s="1">
        <v>4.99</v>
      </c>
    </row>
    <row r="155" spans="1:13" x14ac:dyDescent="0.25">
      <c r="A155" s="3"/>
      <c r="B155" s="3"/>
      <c r="C155" s="63" t="s">
        <v>45</v>
      </c>
      <c r="D155" s="63">
        <v>1000</v>
      </c>
      <c r="E155" s="41">
        <v>3.32</v>
      </c>
      <c r="F155" s="41">
        <v>3.47</v>
      </c>
      <c r="G155" s="1">
        <f t="shared" si="10"/>
        <v>3324.99</v>
      </c>
      <c r="H155" s="2">
        <f t="shared" si="11"/>
        <v>3465.01</v>
      </c>
      <c r="I155" s="20">
        <f t="shared" si="12"/>
        <v>140.02000000000044</v>
      </c>
      <c r="J155" s="2">
        <f t="shared" si="13"/>
        <v>0.15000000000000036</v>
      </c>
      <c r="K155" s="1">
        <v>4.99</v>
      </c>
    </row>
    <row r="156" spans="1:13" x14ac:dyDescent="0.25">
      <c r="A156" s="3"/>
      <c r="B156" s="3"/>
      <c r="C156" s="63" t="s">
        <v>43</v>
      </c>
      <c r="D156" s="63">
        <v>1000</v>
      </c>
      <c r="E156" s="41">
        <v>5.18</v>
      </c>
      <c r="F156" s="41">
        <v>5.2</v>
      </c>
      <c r="G156" s="1">
        <f t="shared" si="10"/>
        <v>5184.99</v>
      </c>
      <c r="H156" s="2">
        <f t="shared" si="11"/>
        <v>5195.01</v>
      </c>
      <c r="I156" s="20">
        <f t="shared" si="12"/>
        <v>10.020000000000437</v>
      </c>
      <c r="J156" s="2">
        <f t="shared" si="13"/>
        <v>2.0000000000000462E-2</v>
      </c>
      <c r="K156" s="1">
        <v>4.99</v>
      </c>
    </row>
    <row r="157" spans="1:13" x14ac:dyDescent="0.25">
      <c r="A157" s="22"/>
      <c r="B157" s="22"/>
      <c r="C157" s="61" t="s">
        <v>43</v>
      </c>
      <c r="D157" s="61">
        <v>1000</v>
      </c>
      <c r="E157" s="41">
        <v>5.18</v>
      </c>
      <c r="F157" s="41">
        <v>5.19</v>
      </c>
      <c r="G157" s="23">
        <f t="shared" si="10"/>
        <v>5184.99</v>
      </c>
      <c r="H157" s="24">
        <f t="shared" si="11"/>
        <v>5185.01</v>
      </c>
      <c r="I157" s="34">
        <f t="shared" si="12"/>
        <v>2.0000000000436557E-2</v>
      </c>
      <c r="J157" s="24">
        <f t="shared" si="13"/>
        <v>1.0000000000000675E-2</v>
      </c>
      <c r="K157" s="23">
        <v>4.99</v>
      </c>
      <c r="L157" s="52"/>
      <c r="M157" s="79"/>
    </row>
    <row r="158" spans="1:13" x14ac:dyDescent="0.25">
      <c r="A158" s="3">
        <v>42019</v>
      </c>
      <c r="B158" s="3"/>
      <c r="C158" s="63" t="s">
        <v>43</v>
      </c>
      <c r="D158" s="63">
        <v>500</v>
      </c>
      <c r="E158" s="42">
        <v>5.19</v>
      </c>
      <c r="F158" s="42">
        <v>5.42</v>
      </c>
      <c r="G158" s="1">
        <f t="shared" si="10"/>
        <v>2599.9899999999998</v>
      </c>
      <c r="H158" s="2">
        <f t="shared" si="11"/>
        <v>2705.01</v>
      </c>
      <c r="I158" s="20">
        <f t="shared" si="12"/>
        <v>105.02000000000044</v>
      </c>
      <c r="J158" s="2">
        <f t="shared" si="13"/>
        <v>0.22999999999999954</v>
      </c>
      <c r="K158" s="1">
        <v>4.99</v>
      </c>
      <c r="L158" s="2">
        <f>SUM(I158:I165)</f>
        <v>-141.87999999999738</v>
      </c>
    </row>
    <row r="159" spans="1:13" x14ac:dyDescent="0.25">
      <c r="A159" s="3"/>
      <c r="B159" s="3"/>
      <c r="C159" s="63" t="s">
        <v>43</v>
      </c>
      <c r="D159" s="63">
        <v>500</v>
      </c>
      <c r="E159" s="41">
        <v>5.09</v>
      </c>
      <c r="F159" s="41">
        <v>5.37</v>
      </c>
      <c r="G159" s="1">
        <f t="shared" si="10"/>
        <v>2549.9899999999998</v>
      </c>
      <c r="H159" s="2">
        <f t="shared" si="11"/>
        <v>2680.01</v>
      </c>
      <c r="I159" s="20">
        <f t="shared" si="12"/>
        <v>130.02000000000044</v>
      </c>
      <c r="J159" s="2">
        <f t="shared" si="13"/>
        <v>0.28000000000000025</v>
      </c>
      <c r="K159" s="1">
        <v>4.99</v>
      </c>
    </row>
    <row r="160" spans="1:13" x14ac:dyDescent="0.25">
      <c r="A160" s="3"/>
      <c r="B160" s="3"/>
      <c r="C160" s="64" t="s">
        <v>43</v>
      </c>
      <c r="D160" s="63">
        <v>500</v>
      </c>
      <c r="E160" s="41">
        <v>5.21</v>
      </c>
      <c r="F160" s="41"/>
      <c r="G160" s="1">
        <f t="shared" si="10"/>
        <v>2609.9899999999998</v>
      </c>
      <c r="H160" s="2">
        <f t="shared" si="11"/>
        <v>0</v>
      </c>
      <c r="I160" s="20">
        <f t="shared" si="12"/>
        <v>0</v>
      </c>
      <c r="J160" s="2">
        <f t="shared" si="13"/>
        <v>0</v>
      </c>
      <c r="K160" s="1">
        <v>4.99</v>
      </c>
    </row>
    <row r="161" spans="1:14" x14ac:dyDescent="0.25">
      <c r="A161" s="3"/>
      <c r="B161" s="3"/>
      <c r="C161" s="64" t="s">
        <v>43</v>
      </c>
      <c r="D161" s="63">
        <v>500</v>
      </c>
      <c r="E161" s="41">
        <v>5.03</v>
      </c>
      <c r="F161" s="41"/>
      <c r="G161" s="1">
        <f t="shared" si="10"/>
        <v>2519.9899999999998</v>
      </c>
      <c r="H161" s="2">
        <f t="shared" si="11"/>
        <v>0</v>
      </c>
      <c r="I161" s="20">
        <f t="shared" si="12"/>
        <v>0</v>
      </c>
      <c r="J161" s="2">
        <f t="shared" si="13"/>
        <v>0</v>
      </c>
      <c r="K161" s="1">
        <v>4.99</v>
      </c>
    </row>
    <row r="162" spans="1:14" x14ac:dyDescent="0.25">
      <c r="A162" s="3"/>
      <c r="B162" s="3"/>
      <c r="C162" s="63" t="s">
        <v>43</v>
      </c>
      <c r="D162" s="63">
        <v>500</v>
      </c>
      <c r="E162" s="41">
        <v>4.5999999999999996</v>
      </c>
      <c r="F162" s="41">
        <v>4.71</v>
      </c>
      <c r="G162" s="1">
        <f t="shared" si="10"/>
        <v>2304.9899999999998</v>
      </c>
      <c r="H162" s="2">
        <f t="shared" si="11"/>
        <v>2350.0100000000002</v>
      </c>
      <c r="I162" s="20">
        <f t="shared" si="12"/>
        <v>45.020000000000437</v>
      </c>
      <c r="J162" s="2">
        <f t="shared" si="13"/>
        <v>0.11000000000000032</v>
      </c>
      <c r="K162" s="1">
        <v>4.99</v>
      </c>
    </row>
    <row r="163" spans="1:14" x14ac:dyDescent="0.25">
      <c r="A163" s="3"/>
      <c r="B163" s="3"/>
      <c r="C163" s="63" t="s">
        <v>28</v>
      </c>
      <c r="D163" s="63">
        <v>800</v>
      </c>
      <c r="E163" s="41">
        <v>5.44</v>
      </c>
      <c r="F163" s="41">
        <v>5.5</v>
      </c>
      <c r="G163" s="1">
        <f t="shared" si="10"/>
        <v>4356.99</v>
      </c>
      <c r="H163" s="2">
        <f t="shared" si="11"/>
        <v>4395.01</v>
      </c>
      <c r="I163" s="20">
        <f t="shared" si="12"/>
        <v>38.020000000000437</v>
      </c>
      <c r="J163" s="2">
        <f t="shared" si="13"/>
        <v>5.9999999999999609E-2</v>
      </c>
      <c r="K163" s="1">
        <v>4.99</v>
      </c>
    </row>
    <row r="164" spans="1:14" x14ac:dyDescent="0.25">
      <c r="A164" s="3"/>
      <c r="B164" s="3"/>
      <c r="C164" s="63" t="s">
        <v>28</v>
      </c>
      <c r="D164" s="63">
        <v>800</v>
      </c>
      <c r="E164" s="41">
        <v>5.62</v>
      </c>
      <c r="F164" s="41">
        <v>5.71</v>
      </c>
      <c r="G164" s="1">
        <f t="shared" si="10"/>
        <v>4500.99</v>
      </c>
      <c r="H164" s="2">
        <f t="shared" si="11"/>
        <v>4563.01</v>
      </c>
      <c r="I164" s="20">
        <f t="shared" si="12"/>
        <v>62.020000000000437</v>
      </c>
      <c r="J164" s="2">
        <f t="shared" si="13"/>
        <v>8.9999999999999858E-2</v>
      </c>
      <c r="K164" s="1">
        <v>4.99</v>
      </c>
    </row>
    <row r="165" spans="1:14" x14ac:dyDescent="0.25">
      <c r="A165" s="22"/>
      <c r="B165" s="22"/>
      <c r="C165" s="65" t="s">
        <v>28</v>
      </c>
      <c r="D165" s="61">
        <v>800</v>
      </c>
      <c r="E165" s="41">
        <v>5.79</v>
      </c>
      <c r="F165" s="41">
        <v>5.15</v>
      </c>
      <c r="G165" s="23">
        <f t="shared" si="10"/>
        <v>4636.99</v>
      </c>
      <c r="H165" s="24">
        <f t="shared" si="11"/>
        <v>4115.01</v>
      </c>
      <c r="I165" s="34">
        <f t="shared" si="12"/>
        <v>-521.97999999999956</v>
      </c>
      <c r="J165" s="24">
        <f t="shared" si="13"/>
        <v>-0.63999999999999968</v>
      </c>
      <c r="K165" s="23">
        <v>4.99</v>
      </c>
      <c r="L165" s="52"/>
      <c r="M165" s="79"/>
    </row>
    <row r="166" spans="1:14" x14ac:dyDescent="0.25">
      <c r="A166" s="3">
        <v>42020</v>
      </c>
      <c r="B166" s="3"/>
      <c r="C166" s="64" t="s">
        <v>45</v>
      </c>
      <c r="D166" s="63">
        <v>1000</v>
      </c>
      <c r="E166" s="42">
        <v>3.47</v>
      </c>
      <c r="F166" s="42"/>
      <c r="G166" s="1">
        <f t="shared" si="10"/>
        <v>3474.99</v>
      </c>
      <c r="H166" s="2">
        <f t="shared" si="11"/>
        <v>0</v>
      </c>
      <c r="I166" s="20">
        <f t="shared" si="12"/>
        <v>0</v>
      </c>
      <c r="J166" s="2">
        <f t="shared" si="13"/>
        <v>0</v>
      </c>
      <c r="K166" s="1">
        <v>4.99</v>
      </c>
    </row>
    <row r="167" spans="1:14" x14ac:dyDescent="0.25">
      <c r="A167" s="22"/>
      <c r="B167" s="22"/>
      <c r="C167" s="61" t="s">
        <v>9</v>
      </c>
      <c r="D167" s="61">
        <v>500</v>
      </c>
      <c r="E167" s="41">
        <v>7.5</v>
      </c>
      <c r="F167" s="41">
        <v>7.55</v>
      </c>
      <c r="G167" s="23">
        <f t="shared" si="10"/>
        <v>3754.99</v>
      </c>
      <c r="H167" s="24">
        <f t="shared" si="11"/>
        <v>3770.01</v>
      </c>
      <c r="I167" s="34">
        <f t="shared" si="12"/>
        <v>15.020000000000437</v>
      </c>
      <c r="J167" s="24">
        <f t="shared" si="13"/>
        <v>4.9999999999999822E-2</v>
      </c>
      <c r="K167" s="23">
        <v>4.99</v>
      </c>
      <c r="L167" s="52"/>
      <c r="M167" s="79"/>
    </row>
    <row r="168" spans="1:14" x14ac:dyDescent="0.25">
      <c r="A168" s="3">
        <v>42023</v>
      </c>
      <c r="B168" s="3" t="s">
        <v>33</v>
      </c>
      <c r="C168" s="74" t="s">
        <v>28</v>
      </c>
      <c r="D168" s="63">
        <v>1800</v>
      </c>
      <c r="E168" s="42">
        <v>5.1100000000000003</v>
      </c>
      <c r="F168" s="42">
        <v>5.14</v>
      </c>
      <c r="G168" s="1">
        <f t="shared" si="10"/>
        <v>9202.99</v>
      </c>
      <c r="H168" s="2">
        <f t="shared" si="11"/>
        <v>9247.01</v>
      </c>
      <c r="I168" s="20">
        <f t="shared" si="12"/>
        <v>44.020000000000437</v>
      </c>
      <c r="J168" s="2">
        <f t="shared" si="13"/>
        <v>2.9999999999999361E-2</v>
      </c>
      <c r="K168" s="1">
        <v>4.99</v>
      </c>
      <c r="N168" t="s">
        <v>54</v>
      </c>
    </row>
    <row r="169" spans="1:14" x14ac:dyDescent="0.25">
      <c r="A169" s="3"/>
      <c r="B169" s="3" t="s">
        <v>33</v>
      </c>
      <c r="C169" s="63" t="s">
        <v>9</v>
      </c>
      <c r="D169" s="63">
        <v>500</v>
      </c>
      <c r="E169" s="41">
        <v>7.54</v>
      </c>
      <c r="F169" s="41">
        <v>7.61</v>
      </c>
      <c r="G169" s="1">
        <f t="shared" si="10"/>
        <v>3774.99</v>
      </c>
      <c r="H169" s="2">
        <f t="shared" si="11"/>
        <v>3800.01</v>
      </c>
      <c r="I169" s="20">
        <f t="shared" si="12"/>
        <v>25.020000000000437</v>
      </c>
      <c r="J169" s="2">
        <f t="shared" si="13"/>
        <v>7.0000000000000284E-2</v>
      </c>
      <c r="K169" s="1">
        <v>4.99</v>
      </c>
    </row>
    <row r="170" spans="1:14" x14ac:dyDescent="0.25">
      <c r="A170" s="22"/>
      <c r="B170" s="22" t="s">
        <v>33</v>
      </c>
      <c r="C170" s="61" t="s">
        <v>9</v>
      </c>
      <c r="D170" s="61">
        <v>1000</v>
      </c>
      <c r="E170" s="41">
        <v>7.65</v>
      </c>
      <c r="F170" s="41">
        <v>8.15</v>
      </c>
      <c r="G170" s="23">
        <f t="shared" si="10"/>
        <v>7654.99</v>
      </c>
      <c r="H170" s="24">
        <f t="shared" si="11"/>
        <v>8145.01</v>
      </c>
      <c r="I170" s="34">
        <f t="shared" si="12"/>
        <v>490.02000000000044</v>
      </c>
      <c r="J170" s="24">
        <f t="shared" si="13"/>
        <v>0.5</v>
      </c>
      <c r="K170" s="23">
        <v>4.99</v>
      </c>
      <c r="L170" s="52"/>
      <c r="M170" s="79"/>
    </row>
    <row r="171" spans="1:14" x14ac:dyDescent="0.25">
      <c r="A171" s="3">
        <v>42024</v>
      </c>
      <c r="B171" s="3" t="s">
        <v>33</v>
      </c>
      <c r="C171" s="63" t="s">
        <v>28</v>
      </c>
      <c r="D171" s="63">
        <v>1000</v>
      </c>
      <c r="E171" s="42">
        <v>5.96</v>
      </c>
      <c r="F171" s="42">
        <v>5.97</v>
      </c>
      <c r="G171" s="1">
        <f t="shared" si="10"/>
        <v>5964.99</v>
      </c>
      <c r="H171" s="2">
        <f t="shared" si="11"/>
        <v>5965.01</v>
      </c>
      <c r="I171" s="20">
        <f t="shared" si="12"/>
        <v>2.0000000000436557E-2</v>
      </c>
      <c r="J171" s="2">
        <f t="shared" si="13"/>
        <v>9.9999999999997868E-3</v>
      </c>
      <c r="K171" s="1">
        <v>4.99</v>
      </c>
    </row>
    <row r="172" spans="1:14" x14ac:dyDescent="0.25">
      <c r="A172" s="3"/>
      <c r="B172" s="3" t="s">
        <v>33</v>
      </c>
      <c r="C172" s="63" t="s">
        <v>9</v>
      </c>
      <c r="D172" s="63">
        <v>500</v>
      </c>
      <c r="E172" s="41">
        <v>8.3000000000000007</v>
      </c>
      <c r="F172" s="41">
        <v>8.23</v>
      </c>
      <c r="G172" s="1">
        <f t="shared" si="10"/>
        <v>4154.99</v>
      </c>
      <c r="H172" s="2">
        <f t="shared" si="11"/>
        <v>4110.01</v>
      </c>
      <c r="I172" s="20">
        <f t="shared" si="12"/>
        <v>-44.979999999999563</v>
      </c>
      <c r="J172" s="2">
        <f t="shared" si="13"/>
        <v>-7.0000000000000284E-2</v>
      </c>
      <c r="K172" s="1">
        <v>4.99</v>
      </c>
    </row>
    <row r="173" spans="1:14" x14ac:dyDescent="0.25">
      <c r="A173" s="3"/>
      <c r="B173" s="3" t="s">
        <v>33</v>
      </c>
      <c r="C173" s="63" t="s">
        <v>9</v>
      </c>
      <c r="D173" s="63">
        <v>500</v>
      </c>
      <c r="E173" s="41">
        <v>8.25</v>
      </c>
      <c r="F173" s="41">
        <v>8.34</v>
      </c>
      <c r="G173" s="1">
        <f t="shared" si="10"/>
        <v>4129.99</v>
      </c>
      <c r="H173" s="2">
        <f t="shared" si="11"/>
        <v>4165.01</v>
      </c>
      <c r="I173" s="20">
        <f t="shared" si="12"/>
        <v>35.020000000000437</v>
      </c>
      <c r="J173" s="2">
        <f t="shared" si="13"/>
        <v>8.9999999999999858E-2</v>
      </c>
      <c r="K173" s="1">
        <v>4.99</v>
      </c>
    </row>
    <row r="174" spans="1:14" x14ac:dyDescent="0.25">
      <c r="A174" s="3"/>
      <c r="B174" s="3" t="s">
        <v>33</v>
      </c>
      <c r="C174" s="63" t="s">
        <v>43</v>
      </c>
      <c r="D174" s="63">
        <v>1000</v>
      </c>
      <c r="E174" s="41">
        <v>3.49</v>
      </c>
      <c r="F174" s="41">
        <v>3.7</v>
      </c>
      <c r="G174" s="1">
        <f t="shared" si="10"/>
        <v>3494.99</v>
      </c>
      <c r="H174" s="2">
        <f t="shared" si="11"/>
        <v>3695.01</v>
      </c>
      <c r="I174" s="20">
        <f t="shared" si="12"/>
        <v>200.02000000000044</v>
      </c>
      <c r="J174" s="2">
        <f t="shared" si="13"/>
        <v>0.20999999999999996</v>
      </c>
      <c r="K174" s="1">
        <v>4.99</v>
      </c>
      <c r="M174" s="10">
        <v>1.2067000000000001</v>
      </c>
    </row>
    <row r="175" spans="1:14" x14ac:dyDescent="0.25">
      <c r="A175" s="22"/>
      <c r="B175" s="22" t="s">
        <v>33</v>
      </c>
      <c r="C175" s="61" t="s">
        <v>45</v>
      </c>
      <c r="D175" s="61">
        <v>350</v>
      </c>
      <c r="E175" s="41">
        <v>2.98</v>
      </c>
      <c r="F175" s="41">
        <v>3.11</v>
      </c>
      <c r="G175" s="23">
        <f t="shared" si="10"/>
        <v>1047.99</v>
      </c>
      <c r="H175" s="24">
        <f t="shared" si="11"/>
        <v>1083.51</v>
      </c>
      <c r="I175" s="34">
        <f t="shared" si="12"/>
        <v>35.519999999999982</v>
      </c>
      <c r="J175" s="24">
        <f t="shared" si="13"/>
        <v>0.12999999999999989</v>
      </c>
      <c r="K175" s="23">
        <v>4.99</v>
      </c>
      <c r="L175" s="52"/>
      <c r="M175" s="79">
        <v>1.2067000000000001</v>
      </c>
    </row>
    <row r="176" spans="1:14" x14ac:dyDescent="0.25">
      <c r="A176" s="3">
        <v>42025</v>
      </c>
      <c r="B176" s="3" t="s">
        <v>33</v>
      </c>
      <c r="C176" s="63" t="s">
        <v>45</v>
      </c>
      <c r="D176" s="63">
        <v>350</v>
      </c>
      <c r="E176" s="42">
        <v>3.05</v>
      </c>
      <c r="F176" s="42">
        <v>3.09</v>
      </c>
      <c r="G176" s="1">
        <f t="shared" si="10"/>
        <v>1072.49</v>
      </c>
      <c r="H176" s="2">
        <f t="shared" si="11"/>
        <v>1076.51</v>
      </c>
      <c r="I176" s="20">
        <f t="shared" si="12"/>
        <v>4.0199999999999818</v>
      </c>
      <c r="J176" s="2">
        <f t="shared" si="13"/>
        <v>4.0000000000000036E-2</v>
      </c>
      <c r="K176" s="1">
        <v>4.99</v>
      </c>
    </row>
    <row r="177" spans="1:13" x14ac:dyDescent="0.25">
      <c r="A177" s="3"/>
      <c r="B177" s="3"/>
      <c r="C177" s="63" t="s">
        <v>45</v>
      </c>
      <c r="D177" s="63">
        <v>500</v>
      </c>
      <c r="E177" s="41">
        <v>3.05</v>
      </c>
      <c r="F177" s="41">
        <v>3.12</v>
      </c>
      <c r="G177" s="1">
        <f t="shared" si="10"/>
        <v>1529.99</v>
      </c>
      <c r="H177" s="2">
        <f t="shared" si="11"/>
        <v>1555.01</v>
      </c>
      <c r="I177" s="20">
        <f t="shared" si="12"/>
        <v>25.019999999999982</v>
      </c>
      <c r="J177" s="2">
        <f t="shared" si="13"/>
        <v>7.0000000000000284E-2</v>
      </c>
      <c r="K177" s="1">
        <v>4.99</v>
      </c>
    </row>
    <row r="178" spans="1:13" x14ac:dyDescent="0.25">
      <c r="A178" s="3"/>
      <c r="B178" s="3"/>
      <c r="C178" s="63" t="s">
        <v>43</v>
      </c>
      <c r="D178" s="63">
        <v>500</v>
      </c>
      <c r="E178" s="41">
        <v>3.65</v>
      </c>
      <c r="F178" s="41">
        <v>3.72</v>
      </c>
      <c r="G178" s="1">
        <f t="shared" si="10"/>
        <v>1829.99</v>
      </c>
      <c r="H178" s="2">
        <f t="shared" si="11"/>
        <v>1855.01</v>
      </c>
      <c r="I178" s="20">
        <f t="shared" si="12"/>
        <v>25.019999999999982</v>
      </c>
      <c r="J178" s="2">
        <f t="shared" si="13"/>
        <v>7.0000000000000284E-2</v>
      </c>
      <c r="K178" s="1">
        <v>4.99</v>
      </c>
    </row>
    <row r="179" spans="1:13" x14ac:dyDescent="0.25">
      <c r="A179" s="22"/>
      <c r="B179" s="22"/>
      <c r="C179" s="61" t="s">
        <v>9</v>
      </c>
      <c r="D179" s="61">
        <v>500</v>
      </c>
      <c r="E179" s="41">
        <v>8.42</v>
      </c>
      <c r="F179" s="41">
        <v>8.51</v>
      </c>
      <c r="G179" s="23">
        <f t="shared" si="10"/>
        <v>4214.99</v>
      </c>
      <c r="H179" s="24">
        <f t="shared" si="11"/>
        <v>4250.01</v>
      </c>
      <c r="I179" s="34">
        <f t="shared" si="12"/>
        <v>35.020000000000437</v>
      </c>
      <c r="J179" s="24">
        <f t="shared" si="13"/>
        <v>8.9999999999999858E-2</v>
      </c>
      <c r="K179" s="23">
        <v>4.99</v>
      </c>
      <c r="L179" s="52"/>
      <c r="M179" s="79"/>
    </row>
    <row r="180" spans="1:13" x14ac:dyDescent="0.25">
      <c r="A180" s="3">
        <v>42026</v>
      </c>
      <c r="B180" s="3" t="s">
        <v>33</v>
      </c>
      <c r="C180" s="63" t="s">
        <v>45</v>
      </c>
      <c r="D180" s="63">
        <v>500</v>
      </c>
      <c r="E180" s="42">
        <v>3</v>
      </c>
      <c r="F180" s="42">
        <v>3.03</v>
      </c>
      <c r="G180" s="1">
        <f t="shared" si="10"/>
        <v>1504.99</v>
      </c>
      <c r="H180" s="2">
        <f t="shared" si="11"/>
        <v>1510.01</v>
      </c>
      <c r="I180" s="20">
        <f t="shared" si="12"/>
        <v>5.0199999999999818</v>
      </c>
      <c r="J180" s="2">
        <f t="shared" si="13"/>
        <v>2.9999999999999805E-2</v>
      </c>
      <c r="K180" s="1">
        <v>4.99</v>
      </c>
      <c r="L180" t="s">
        <v>57</v>
      </c>
    </row>
    <row r="181" spans="1:13" x14ac:dyDescent="0.25">
      <c r="A181" s="3"/>
      <c r="B181" s="3" t="s">
        <v>33</v>
      </c>
      <c r="C181" s="63" t="s">
        <v>43</v>
      </c>
      <c r="D181" s="63">
        <v>500</v>
      </c>
      <c r="E181" s="41">
        <v>3.25</v>
      </c>
      <c r="F181" s="41">
        <v>3.62</v>
      </c>
      <c r="G181" s="1">
        <f t="shared" si="10"/>
        <v>1632.49</v>
      </c>
      <c r="H181" s="2">
        <f t="shared" si="11"/>
        <v>1802.51</v>
      </c>
      <c r="I181" s="20">
        <f t="shared" si="12"/>
        <v>170.01999999999998</v>
      </c>
      <c r="J181" s="2">
        <f t="shared" si="13"/>
        <v>0.37000000000000011</v>
      </c>
      <c r="K181" s="1">
        <v>7.49</v>
      </c>
    </row>
    <row r="182" spans="1:13" x14ac:dyDescent="0.25">
      <c r="A182" s="22"/>
      <c r="B182" s="22" t="s">
        <v>33</v>
      </c>
      <c r="C182" s="61" t="s">
        <v>45</v>
      </c>
      <c r="D182" s="61">
        <v>500</v>
      </c>
      <c r="E182" s="41">
        <v>2.79</v>
      </c>
      <c r="F182" s="41">
        <v>3.03</v>
      </c>
      <c r="G182" s="23">
        <f t="shared" si="10"/>
        <v>1399.99</v>
      </c>
      <c r="H182" s="24">
        <f t="shared" si="11"/>
        <v>1510.01</v>
      </c>
      <c r="I182" s="34">
        <f t="shared" si="12"/>
        <v>110.01999999999998</v>
      </c>
      <c r="J182" s="24">
        <f t="shared" si="13"/>
        <v>0.23999999999999977</v>
      </c>
      <c r="K182" s="23">
        <v>4.99</v>
      </c>
      <c r="L182" s="52" t="s">
        <v>57</v>
      </c>
      <c r="M182" s="79"/>
    </row>
    <row r="183" spans="1:13" x14ac:dyDescent="0.25">
      <c r="A183" s="3">
        <v>23</v>
      </c>
      <c r="B183" s="3" t="s">
        <v>33</v>
      </c>
      <c r="C183" s="63" t="s">
        <v>9</v>
      </c>
      <c r="D183" s="63">
        <v>500</v>
      </c>
      <c r="E183" s="42">
        <v>8.2100000000000009</v>
      </c>
      <c r="F183" s="42">
        <v>8.48</v>
      </c>
      <c r="G183" s="1">
        <f t="shared" si="10"/>
        <v>4109.99</v>
      </c>
      <c r="H183" s="2">
        <f t="shared" si="11"/>
        <v>4235.01</v>
      </c>
      <c r="I183" s="20">
        <f t="shared" si="12"/>
        <v>125.02000000000044</v>
      </c>
      <c r="J183" s="2">
        <f t="shared" si="13"/>
        <v>0.26999999999999957</v>
      </c>
      <c r="K183" s="1">
        <v>4.99</v>
      </c>
    </row>
    <row r="184" spans="1:13" x14ac:dyDescent="0.25">
      <c r="A184" s="22"/>
      <c r="B184" s="22" t="s">
        <v>33</v>
      </c>
      <c r="C184" s="61" t="s">
        <v>9</v>
      </c>
      <c r="D184" s="61">
        <v>500</v>
      </c>
      <c r="E184" s="41">
        <v>7.99</v>
      </c>
      <c r="F184" s="41">
        <v>8.2100000000000009</v>
      </c>
      <c r="G184" s="23">
        <f t="shared" si="10"/>
        <v>3999.99</v>
      </c>
      <c r="H184" s="24">
        <f t="shared" si="11"/>
        <v>4100.01</v>
      </c>
      <c r="I184" s="34">
        <f t="shared" si="12"/>
        <v>100.02000000000044</v>
      </c>
      <c r="J184" s="24">
        <f t="shared" si="13"/>
        <v>0.22000000000000064</v>
      </c>
      <c r="K184" s="23">
        <v>4.99</v>
      </c>
      <c r="L184" s="52"/>
      <c r="M184" s="79"/>
    </row>
    <row r="185" spans="1:13" x14ac:dyDescent="0.25">
      <c r="A185" s="3">
        <v>42030</v>
      </c>
      <c r="B185" s="3" t="s">
        <v>55</v>
      </c>
      <c r="C185" s="63" t="s">
        <v>43</v>
      </c>
      <c r="D185" s="63">
        <v>500</v>
      </c>
      <c r="E185" s="42">
        <v>3.49</v>
      </c>
      <c r="F185" s="42">
        <v>3.58</v>
      </c>
      <c r="G185" s="1">
        <f t="shared" si="10"/>
        <v>1749.99</v>
      </c>
      <c r="H185" s="2">
        <f t="shared" si="11"/>
        <v>1785.01</v>
      </c>
      <c r="I185" s="20">
        <f t="shared" si="12"/>
        <v>35.019999999999982</v>
      </c>
      <c r="J185" s="2">
        <f t="shared" si="13"/>
        <v>8.9999999999999858E-2</v>
      </c>
      <c r="K185" s="1">
        <v>4.99</v>
      </c>
    </row>
    <row r="186" spans="1:13" x14ac:dyDescent="0.25">
      <c r="A186" s="22"/>
      <c r="B186" s="22" t="s">
        <v>55</v>
      </c>
      <c r="C186" s="65" t="s">
        <v>43</v>
      </c>
      <c r="D186" s="61">
        <v>500</v>
      </c>
      <c r="E186" s="41">
        <v>3.51</v>
      </c>
      <c r="F186" s="41"/>
      <c r="G186" s="23">
        <f t="shared" si="10"/>
        <v>1759.99</v>
      </c>
      <c r="H186" s="24">
        <f t="shared" si="11"/>
        <v>0</v>
      </c>
      <c r="I186" s="34">
        <f t="shared" si="12"/>
        <v>0</v>
      </c>
      <c r="J186" s="24">
        <f t="shared" si="13"/>
        <v>0</v>
      </c>
      <c r="K186" s="23">
        <v>4.99</v>
      </c>
      <c r="L186" s="52"/>
      <c r="M186" s="79"/>
    </row>
    <row r="187" spans="1:13" x14ac:dyDescent="0.25">
      <c r="A187" s="3">
        <v>42031</v>
      </c>
      <c r="B187" s="3" t="s">
        <v>33</v>
      </c>
      <c r="C187" s="63" t="s">
        <v>9</v>
      </c>
      <c r="D187" s="63">
        <v>500</v>
      </c>
      <c r="E187" s="42">
        <v>8.48</v>
      </c>
      <c r="F187" s="42">
        <v>8.65</v>
      </c>
      <c r="G187" s="1">
        <f t="shared" si="10"/>
        <v>4244.99</v>
      </c>
      <c r="H187" s="2">
        <f t="shared" si="11"/>
        <v>4320.01</v>
      </c>
      <c r="I187" s="20">
        <f t="shared" si="12"/>
        <v>75.020000000000437</v>
      </c>
      <c r="J187" s="2">
        <f t="shared" si="13"/>
        <v>0.16999999999999993</v>
      </c>
      <c r="K187" s="1">
        <v>4.99</v>
      </c>
    </row>
    <row r="188" spans="1:13" x14ac:dyDescent="0.25">
      <c r="A188" s="22"/>
      <c r="B188" s="22" t="s">
        <v>33</v>
      </c>
      <c r="C188" s="61" t="s">
        <v>9</v>
      </c>
      <c r="D188" s="61">
        <v>500</v>
      </c>
      <c r="E188" s="41">
        <v>8.5399999999999991</v>
      </c>
      <c r="F188" s="41">
        <v>8.6199999999999992</v>
      </c>
      <c r="G188" s="23">
        <f t="shared" si="10"/>
        <v>4274.99</v>
      </c>
      <c r="H188" s="24">
        <f t="shared" si="11"/>
        <v>4305.01</v>
      </c>
      <c r="I188" s="34">
        <f t="shared" si="12"/>
        <v>30.020000000000437</v>
      </c>
      <c r="J188" s="24">
        <f t="shared" si="13"/>
        <v>8.0000000000000071E-2</v>
      </c>
      <c r="K188" s="23">
        <v>4.99</v>
      </c>
      <c r="L188" s="52"/>
      <c r="M188" s="79"/>
    </row>
    <row r="189" spans="1:13" x14ac:dyDescent="0.25">
      <c r="A189" s="3">
        <v>42032</v>
      </c>
      <c r="B189" s="3" t="s">
        <v>33</v>
      </c>
      <c r="C189" s="63" t="s">
        <v>43</v>
      </c>
      <c r="D189" s="63">
        <v>500</v>
      </c>
      <c r="E189" s="42">
        <v>3.25</v>
      </c>
      <c r="F189" s="42">
        <v>3.28</v>
      </c>
      <c r="G189" s="1">
        <f t="shared" si="10"/>
        <v>1629.99</v>
      </c>
      <c r="H189" s="2">
        <f t="shared" si="11"/>
        <v>1635.01</v>
      </c>
      <c r="I189" s="20">
        <f t="shared" si="12"/>
        <v>5.0199999999999818</v>
      </c>
      <c r="J189" s="2">
        <f t="shared" si="13"/>
        <v>2.9999999999999805E-2</v>
      </c>
      <c r="K189" s="1">
        <v>4.99</v>
      </c>
    </row>
    <row r="190" spans="1:13" x14ac:dyDescent="0.25">
      <c r="A190" s="3"/>
      <c r="B190" s="3" t="s">
        <v>33</v>
      </c>
      <c r="C190" s="63" t="s">
        <v>45</v>
      </c>
      <c r="D190" s="63">
        <v>500</v>
      </c>
      <c r="E190" s="41">
        <v>2.58</v>
      </c>
      <c r="F190" s="41">
        <v>2.65</v>
      </c>
      <c r="G190" s="1">
        <f t="shared" si="10"/>
        <v>1294.99</v>
      </c>
      <c r="H190" s="2">
        <f t="shared" si="11"/>
        <v>1320.01</v>
      </c>
      <c r="I190" s="20">
        <f t="shared" si="12"/>
        <v>25.019999999999982</v>
      </c>
      <c r="J190" s="2">
        <f t="shared" si="13"/>
        <v>6.999999999999984E-2</v>
      </c>
      <c r="K190" s="1">
        <v>4.99</v>
      </c>
    </row>
    <row r="191" spans="1:13" x14ac:dyDescent="0.25">
      <c r="A191" s="3"/>
      <c r="B191" s="3" t="s">
        <v>33</v>
      </c>
      <c r="C191" s="63" t="s">
        <v>9</v>
      </c>
      <c r="D191" s="63">
        <v>500</v>
      </c>
      <c r="E191" s="41">
        <v>8.5500000000000007</v>
      </c>
      <c r="F191" s="41">
        <v>8.6199999999999992</v>
      </c>
      <c r="G191" s="1">
        <f t="shared" si="10"/>
        <v>4279.99</v>
      </c>
      <c r="H191" s="2">
        <f t="shared" si="11"/>
        <v>4305.01</v>
      </c>
      <c r="I191" s="20">
        <f t="shared" si="12"/>
        <v>25.020000000000437</v>
      </c>
      <c r="J191" s="2">
        <f t="shared" si="13"/>
        <v>6.9999999999998508E-2</v>
      </c>
      <c r="K191" s="1">
        <v>4.99</v>
      </c>
    </row>
    <row r="192" spans="1:13" x14ac:dyDescent="0.25">
      <c r="A192" s="3"/>
      <c r="B192" s="3" t="s">
        <v>33</v>
      </c>
      <c r="C192" s="63" t="s">
        <v>45</v>
      </c>
      <c r="D192" s="63">
        <v>500</v>
      </c>
      <c r="E192" s="41">
        <v>2.62</v>
      </c>
      <c r="F192" s="41">
        <v>2.74</v>
      </c>
      <c r="G192" s="1">
        <f t="shared" si="10"/>
        <v>1314.99</v>
      </c>
      <c r="H192" s="2">
        <f t="shared" si="11"/>
        <v>1365.01</v>
      </c>
      <c r="I192" s="20">
        <f t="shared" si="12"/>
        <v>50.019999999999982</v>
      </c>
      <c r="J192" s="2">
        <f t="shared" si="13"/>
        <v>0.12000000000000011</v>
      </c>
      <c r="K192" s="1">
        <v>4.99</v>
      </c>
    </row>
    <row r="193" spans="1:16" x14ac:dyDescent="0.25">
      <c r="A193" s="3"/>
      <c r="B193" s="3" t="s">
        <v>33</v>
      </c>
      <c r="C193" s="63" t="s">
        <v>9</v>
      </c>
      <c r="D193" s="63">
        <v>500</v>
      </c>
      <c r="E193" s="41">
        <v>8.56</v>
      </c>
      <c r="F193" s="41">
        <v>8.61</v>
      </c>
      <c r="G193" s="1">
        <f t="shared" si="10"/>
        <v>4284.99</v>
      </c>
      <c r="H193" s="2">
        <f t="shared" si="11"/>
        <v>4300.01</v>
      </c>
      <c r="I193" s="20">
        <f t="shared" si="12"/>
        <v>15.020000000000437</v>
      </c>
      <c r="J193" s="2">
        <f t="shared" si="13"/>
        <v>4.9999999999998934E-2</v>
      </c>
      <c r="K193" s="1">
        <v>4.99</v>
      </c>
    </row>
    <row r="194" spans="1:16" x14ac:dyDescent="0.25">
      <c r="A194" s="3"/>
      <c r="B194" s="3" t="s">
        <v>33</v>
      </c>
      <c r="C194" s="63" t="s">
        <v>45</v>
      </c>
      <c r="D194" s="63">
        <v>500</v>
      </c>
      <c r="E194" s="41">
        <v>2.4700000000000002</v>
      </c>
      <c r="F194" s="41">
        <v>2.4900000000000002</v>
      </c>
      <c r="G194" s="1">
        <f t="shared" si="10"/>
        <v>1239.99</v>
      </c>
      <c r="H194" s="2">
        <f t="shared" si="11"/>
        <v>1240.01</v>
      </c>
      <c r="I194" s="20">
        <f t="shared" si="12"/>
        <v>1.999999999998181E-2</v>
      </c>
      <c r="J194" s="2">
        <f t="shared" si="13"/>
        <v>2.0000000000000018E-2</v>
      </c>
      <c r="K194" s="1">
        <v>4.99</v>
      </c>
    </row>
    <row r="195" spans="1:16" x14ac:dyDescent="0.25">
      <c r="A195" s="3"/>
      <c r="B195" s="3" t="s">
        <v>33</v>
      </c>
      <c r="C195" s="63" t="s">
        <v>9</v>
      </c>
      <c r="D195" s="63">
        <v>500</v>
      </c>
      <c r="E195" s="41">
        <v>8.56</v>
      </c>
      <c r="F195" s="41">
        <v>8.69</v>
      </c>
      <c r="G195" s="1">
        <f t="shared" ref="G195:G258" si="14">IF(D195&gt;0,(D195*E195)+K195,0)</f>
        <v>4284.99</v>
      </c>
      <c r="H195" s="2">
        <f t="shared" ref="H195:H258" si="15">IF(F195&gt;0,(D195*F195)-K195,0)</f>
        <v>4340.01</v>
      </c>
      <c r="I195" s="20">
        <f t="shared" si="12"/>
        <v>55.020000000000437</v>
      </c>
      <c r="J195" s="2">
        <f t="shared" si="13"/>
        <v>0.12999999999999901</v>
      </c>
      <c r="K195" s="1">
        <v>4.99</v>
      </c>
      <c r="L195" t="s">
        <v>57</v>
      </c>
    </row>
    <row r="196" spans="1:16" x14ac:dyDescent="0.25">
      <c r="A196" s="22"/>
      <c r="B196" s="22" t="s">
        <v>33</v>
      </c>
      <c r="C196" s="61" t="s">
        <v>9</v>
      </c>
      <c r="D196" s="61">
        <v>400</v>
      </c>
      <c r="E196" s="41">
        <v>8.32</v>
      </c>
      <c r="F196" s="41">
        <v>8.4499999999999993</v>
      </c>
      <c r="G196" s="23">
        <f t="shared" si="14"/>
        <v>3332.99</v>
      </c>
      <c r="H196" s="24">
        <f t="shared" si="15"/>
        <v>3375.0099999999998</v>
      </c>
      <c r="I196" s="34">
        <f t="shared" si="12"/>
        <v>42.019999999999982</v>
      </c>
      <c r="J196" s="24">
        <f t="shared" si="13"/>
        <v>0.12999999999999901</v>
      </c>
      <c r="K196" s="23">
        <v>4.99</v>
      </c>
      <c r="L196" s="52"/>
      <c r="M196" s="79"/>
    </row>
    <row r="197" spans="1:16" x14ac:dyDescent="0.25">
      <c r="A197" s="82">
        <v>42033</v>
      </c>
      <c r="B197" s="82" t="s">
        <v>56</v>
      </c>
      <c r="C197" s="83" t="s">
        <v>43</v>
      </c>
      <c r="D197" s="83">
        <v>500</v>
      </c>
      <c r="E197" s="41">
        <v>2.8</v>
      </c>
      <c r="F197" s="41">
        <v>2.85</v>
      </c>
      <c r="G197" s="84">
        <f t="shared" si="14"/>
        <v>1404.99</v>
      </c>
      <c r="H197" s="85">
        <f t="shared" si="15"/>
        <v>1420.01</v>
      </c>
      <c r="I197" s="86">
        <f t="shared" si="12"/>
        <v>15.019999999999982</v>
      </c>
      <c r="J197" s="85">
        <f t="shared" si="13"/>
        <v>5.0000000000000266E-2</v>
      </c>
      <c r="K197" s="84">
        <v>4.99</v>
      </c>
      <c r="L197" s="87"/>
      <c r="M197" s="88"/>
    </row>
    <row r="198" spans="1:16" x14ac:dyDescent="0.25">
      <c r="A198" s="3">
        <v>42034</v>
      </c>
      <c r="B198" s="3" t="s">
        <v>56</v>
      </c>
      <c r="C198" s="64" t="s">
        <v>43</v>
      </c>
      <c r="D198" s="63">
        <v>500</v>
      </c>
      <c r="E198" s="42">
        <v>2.76</v>
      </c>
      <c r="F198" s="42">
        <v>2.81</v>
      </c>
      <c r="G198" s="1">
        <f t="shared" si="14"/>
        <v>1384.99</v>
      </c>
      <c r="H198" s="2">
        <f t="shared" si="15"/>
        <v>1400.01</v>
      </c>
      <c r="I198" s="20">
        <f t="shared" si="12"/>
        <v>15.019999999999982</v>
      </c>
      <c r="J198" s="2">
        <f t="shared" si="13"/>
        <v>5.0000000000000266E-2</v>
      </c>
      <c r="K198" s="1">
        <v>4.99</v>
      </c>
    </row>
    <row r="199" spans="1:16" x14ac:dyDescent="0.25">
      <c r="A199" s="3"/>
      <c r="B199" s="3" t="s">
        <v>33</v>
      </c>
      <c r="C199" s="63" t="s">
        <v>45</v>
      </c>
      <c r="D199" s="63">
        <v>500</v>
      </c>
      <c r="E199" s="41">
        <v>2.76</v>
      </c>
      <c r="F199" s="41">
        <v>2.84</v>
      </c>
      <c r="G199" s="1">
        <f t="shared" si="14"/>
        <v>1384.99</v>
      </c>
      <c r="H199" s="2">
        <f t="shared" si="15"/>
        <v>1415.01</v>
      </c>
      <c r="I199" s="20">
        <f t="shared" si="12"/>
        <v>30.019999999999982</v>
      </c>
      <c r="J199" s="2">
        <f t="shared" si="13"/>
        <v>8.0000000000000071E-2</v>
      </c>
      <c r="K199" s="1">
        <v>4.99</v>
      </c>
    </row>
    <row r="200" spans="1:16" x14ac:dyDescent="0.25">
      <c r="A200" s="22"/>
      <c r="B200" s="22" t="s">
        <v>33</v>
      </c>
      <c r="C200" s="61" t="s">
        <v>45</v>
      </c>
      <c r="D200" s="61">
        <v>500</v>
      </c>
      <c r="E200" s="41">
        <v>2.86</v>
      </c>
      <c r="F200" s="41">
        <v>2.91</v>
      </c>
      <c r="G200" s="23">
        <f t="shared" si="14"/>
        <v>1434.99</v>
      </c>
      <c r="H200" s="24">
        <f t="shared" si="15"/>
        <v>1450.01</v>
      </c>
      <c r="I200" s="34">
        <f t="shared" si="12"/>
        <v>15.019999999999982</v>
      </c>
      <c r="J200" s="24">
        <f t="shared" si="13"/>
        <v>5.0000000000000266E-2</v>
      </c>
      <c r="K200" s="23">
        <v>4.99</v>
      </c>
      <c r="L200" s="52"/>
      <c r="M200" s="79"/>
    </row>
    <row r="201" spans="1:16" x14ac:dyDescent="0.25">
      <c r="A201" s="3">
        <v>42037</v>
      </c>
      <c r="B201" s="3" t="s">
        <v>33</v>
      </c>
      <c r="C201" s="63" t="s">
        <v>42</v>
      </c>
      <c r="D201" s="63">
        <v>1000</v>
      </c>
      <c r="E201" s="42">
        <v>2.67</v>
      </c>
      <c r="F201" s="42">
        <v>2.74</v>
      </c>
      <c r="G201" s="1">
        <f t="shared" si="14"/>
        <v>2674.99</v>
      </c>
      <c r="H201" s="2">
        <f t="shared" si="15"/>
        <v>2735.01</v>
      </c>
      <c r="I201" s="20">
        <f t="shared" si="12"/>
        <v>60.020000000000437</v>
      </c>
      <c r="J201" s="2">
        <f t="shared" si="13"/>
        <v>7.0000000000000284E-2</v>
      </c>
      <c r="K201" s="1">
        <v>4.99</v>
      </c>
      <c r="M201" s="10">
        <v>1.2615000000000001</v>
      </c>
      <c r="N201" s="2">
        <f>((D201*E201)+K201)*M201</f>
        <v>3374.4998849999997</v>
      </c>
      <c r="O201" s="1">
        <f>((D201*F201)-K201)*M201</f>
        <v>3450.2151150000004</v>
      </c>
      <c r="P201" s="2">
        <f>O201-N201</f>
        <v>75.715230000000702</v>
      </c>
    </row>
    <row r="202" spans="1:16" x14ac:dyDescent="0.25">
      <c r="A202" s="3"/>
      <c r="B202" s="3"/>
      <c r="C202" s="60"/>
      <c r="D202" s="60"/>
      <c r="E202" s="41"/>
      <c r="F202" s="41"/>
      <c r="G202" s="1">
        <f t="shared" si="14"/>
        <v>0</v>
      </c>
      <c r="H202" s="2">
        <f t="shared" si="15"/>
        <v>0</v>
      </c>
      <c r="I202" s="20">
        <f t="shared" si="12"/>
        <v>0</v>
      </c>
      <c r="J202" s="2">
        <f t="shared" si="13"/>
        <v>0</v>
      </c>
      <c r="K202" s="1">
        <v>4.99</v>
      </c>
    </row>
    <row r="203" spans="1:16" x14ac:dyDescent="0.25">
      <c r="A203" s="3"/>
      <c r="B203" s="3"/>
      <c r="C203" s="60"/>
      <c r="D203" s="60"/>
      <c r="E203" s="41"/>
      <c r="F203" s="41"/>
      <c r="G203" s="1">
        <f t="shared" si="14"/>
        <v>0</v>
      </c>
      <c r="H203" s="2">
        <f t="shared" si="15"/>
        <v>0</v>
      </c>
      <c r="I203" s="20">
        <f t="shared" si="12"/>
        <v>0</v>
      </c>
      <c r="J203" s="2">
        <f t="shared" si="13"/>
        <v>0</v>
      </c>
      <c r="K203" s="1">
        <v>4.99</v>
      </c>
    </row>
    <row r="204" spans="1:16" x14ac:dyDescent="0.25">
      <c r="A204" s="3"/>
      <c r="B204" s="3"/>
      <c r="C204" s="60"/>
      <c r="D204" s="60"/>
      <c r="E204" s="41"/>
      <c r="F204" s="41"/>
      <c r="G204" s="1">
        <f t="shared" si="14"/>
        <v>0</v>
      </c>
      <c r="H204" s="2">
        <f t="shared" si="15"/>
        <v>0</v>
      </c>
      <c r="I204" s="20">
        <f t="shared" si="12"/>
        <v>0</v>
      </c>
      <c r="J204" s="2">
        <f t="shared" si="13"/>
        <v>0</v>
      </c>
      <c r="K204" s="1">
        <v>4.99</v>
      </c>
    </row>
    <row r="205" spans="1:16" x14ac:dyDescent="0.25">
      <c r="A205" s="3"/>
      <c r="B205" s="3"/>
      <c r="C205" s="60"/>
      <c r="D205" s="60"/>
      <c r="E205" s="41"/>
      <c r="F205" s="41"/>
      <c r="G205" s="1">
        <f t="shared" si="14"/>
        <v>0</v>
      </c>
      <c r="H205" s="2">
        <f t="shared" si="15"/>
        <v>0</v>
      </c>
      <c r="I205" s="20">
        <f t="shared" si="12"/>
        <v>0</v>
      </c>
      <c r="J205" s="2">
        <f t="shared" si="13"/>
        <v>0</v>
      </c>
      <c r="K205" s="1">
        <v>4.99</v>
      </c>
    </row>
    <row r="206" spans="1:16" x14ac:dyDescent="0.25">
      <c r="A206" s="3"/>
      <c r="B206" s="3"/>
      <c r="C206" s="60"/>
      <c r="D206" s="60"/>
      <c r="E206" s="41"/>
      <c r="F206" s="41"/>
      <c r="G206" s="1">
        <f t="shared" si="14"/>
        <v>0</v>
      </c>
      <c r="H206" s="2">
        <f t="shared" si="15"/>
        <v>0</v>
      </c>
      <c r="I206" s="20">
        <f t="shared" si="12"/>
        <v>0</v>
      </c>
      <c r="J206" s="2">
        <f t="shared" si="13"/>
        <v>0</v>
      </c>
      <c r="K206" s="1">
        <v>4.99</v>
      </c>
    </row>
    <row r="207" spans="1:16" x14ac:dyDescent="0.25">
      <c r="A207" s="3"/>
      <c r="B207" s="3"/>
      <c r="C207" s="60"/>
      <c r="D207" s="60"/>
      <c r="E207" s="41"/>
      <c r="F207" s="41"/>
      <c r="G207" s="1">
        <f t="shared" si="14"/>
        <v>0</v>
      </c>
      <c r="H207" s="2">
        <f t="shared" si="15"/>
        <v>0</v>
      </c>
      <c r="I207" s="20">
        <f t="shared" si="12"/>
        <v>0</v>
      </c>
      <c r="J207" s="2">
        <f t="shared" si="13"/>
        <v>0</v>
      </c>
      <c r="K207" s="1">
        <v>4.99</v>
      </c>
    </row>
    <row r="208" spans="1:16" x14ac:dyDescent="0.25">
      <c r="A208" s="3"/>
      <c r="B208" s="3"/>
      <c r="C208" s="60"/>
      <c r="D208" s="60"/>
      <c r="E208" s="41"/>
      <c r="F208" s="41"/>
      <c r="G208" s="1">
        <f t="shared" si="14"/>
        <v>0</v>
      </c>
      <c r="H208" s="2">
        <f t="shared" si="15"/>
        <v>0</v>
      </c>
      <c r="I208" s="20">
        <f t="shared" si="12"/>
        <v>0</v>
      </c>
      <c r="J208" s="2">
        <f t="shared" si="13"/>
        <v>0</v>
      </c>
      <c r="K208" s="1">
        <v>4.99</v>
      </c>
    </row>
    <row r="209" spans="1:11" x14ac:dyDescent="0.25">
      <c r="A209" s="3"/>
      <c r="B209" s="3"/>
      <c r="C209" s="60"/>
      <c r="D209" s="60"/>
      <c r="E209" s="41"/>
      <c r="F209" s="41"/>
      <c r="G209" s="1">
        <f t="shared" si="14"/>
        <v>0</v>
      </c>
      <c r="H209" s="2">
        <f t="shared" si="15"/>
        <v>0</v>
      </c>
      <c r="I209" s="20">
        <f t="shared" si="12"/>
        <v>0</v>
      </c>
      <c r="J209" s="2">
        <f t="shared" si="13"/>
        <v>0</v>
      </c>
      <c r="K209" s="1">
        <v>4.99</v>
      </c>
    </row>
    <row r="210" spans="1:11" x14ac:dyDescent="0.25">
      <c r="A210" s="3"/>
      <c r="B210" s="3"/>
      <c r="C210" s="60"/>
      <c r="D210" s="60"/>
      <c r="E210" s="41"/>
      <c r="F210" s="41"/>
      <c r="G210" s="1">
        <f t="shared" si="14"/>
        <v>0</v>
      </c>
      <c r="H210" s="2">
        <f t="shared" si="15"/>
        <v>0</v>
      </c>
      <c r="I210" s="20">
        <f t="shared" si="12"/>
        <v>0</v>
      </c>
      <c r="J210" s="2">
        <f t="shared" si="13"/>
        <v>0</v>
      </c>
      <c r="K210" s="1">
        <v>4.99</v>
      </c>
    </row>
    <row r="211" spans="1:11" x14ac:dyDescent="0.25">
      <c r="A211" s="3"/>
      <c r="B211" s="3"/>
      <c r="C211" s="60"/>
      <c r="D211" s="60"/>
      <c r="E211" s="41"/>
      <c r="F211" s="41"/>
      <c r="G211" s="1">
        <f t="shared" si="14"/>
        <v>0</v>
      </c>
      <c r="H211" s="2">
        <f t="shared" si="15"/>
        <v>0</v>
      </c>
      <c r="I211" s="20">
        <f t="shared" si="12"/>
        <v>0</v>
      </c>
      <c r="J211" s="2">
        <f t="shared" si="13"/>
        <v>0</v>
      </c>
      <c r="K211" s="1">
        <v>4.99</v>
      </c>
    </row>
    <row r="212" spans="1:11" x14ac:dyDescent="0.25">
      <c r="A212" s="3"/>
      <c r="B212" s="3"/>
      <c r="C212" s="60"/>
      <c r="D212" s="60"/>
      <c r="E212" s="41"/>
      <c r="F212" s="41"/>
      <c r="G212" s="1">
        <f t="shared" si="14"/>
        <v>0</v>
      </c>
      <c r="H212" s="2">
        <f t="shared" si="15"/>
        <v>0</v>
      </c>
      <c r="I212" s="20">
        <f t="shared" si="12"/>
        <v>0</v>
      </c>
      <c r="J212" s="2">
        <f t="shared" si="13"/>
        <v>0</v>
      </c>
      <c r="K212" s="1">
        <v>4.99</v>
      </c>
    </row>
    <row r="213" spans="1:11" x14ac:dyDescent="0.25">
      <c r="A213" s="3"/>
      <c r="B213" s="3"/>
      <c r="C213" s="60"/>
      <c r="D213" s="60"/>
      <c r="E213" s="41"/>
      <c r="F213" s="41"/>
      <c r="G213" s="1">
        <f t="shared" si="14"/>
        <v>0</v>
      </c>
      <c r="H213" s="2">
        <f t="shared" si="15"/>
        <v>0</v>
      </c>
      <c r="I213" s="20">
        <f t="shared" si="12"/>
        <v>0</v>
      </c>
      <c r="J213" s="2">
        <f t="shared" si="13"/>
        <v>0</v>
      </c>
      <c r="K213" s="1">
        <v>4.99</v>
      </c>
    </row>
    <row r="214" spans="1:11" x14ac:dyDescent="0.25">
      <c r="A214" s="3"/>
      <c r="B214" s="3"/>
      <c r="C214" s="60"/>
      <c r="D214" s="60"/>
      <c r="E214" s="41"/>
      <c r="F214" s="41"/>
      <c r="G214" s="1">
        <f t="shared" si="14"/>
        <v>0</v>
      </c>
      <c r="H214" s="2">
        <f t="shared" si="15"/>
        <v>0</v>
      </c>
      <c r="I214" s="20">
        <f t="shared" si="12"/>
        <v>0</v>
      </c>
      <c r="J214" s="2">
        <f t="shared" si="13"/>
        <v>0</v>
      </c>
      <c r="K214" s="1">
        <v>4.99</v>
      </c>
    </row>
    <row r="215" spans="1:11" x14ac:dyDescent="0.25">
      <c r="A215" s="3"/>
      <c r="B215" s="3"/>
      <c r="C215" s="60"/>
      <c r="D215" s="60"/>
      <c r="E215" s="41"/>
      <c r="F215" s="41"/>
      <c r="G215" s="1">
        <f t="shared" si="14"/>
        <v>0</v>
      </c>
      <c r="H215" s="2">
        <f t="shared" si="15"/>
        <v>0</v>
      </c>
      <c r="I215" s="20">
        <f t="shared" ref="I215:I249" si="16">IF(F215&gt;0,H215-G215,0)</f>
        <v>0</v>
      </c>
      <c r="J215" s="2">
        <f t="shared" ref="J215:J249" si="17">IF(F215&gt;0,F215-E215,0)</f>
        <v>0</v>
      </c>
      <c r="K215" s="1">
        <v>4.99</v>
      </c>
    </row>
    <row r="216" spans="1:11" x14ac:dyDescent="0.25">
      <c r="A216" s="3"/>
      <c r="B216" s="3"/>
      <c r="C216" s="60"/>
      <c r="D216" s="60"/>
      <c r="E216" s="41"/>
      <c r="F216" s="41"/>
      <c r="G216" s="1">
        <f t="shared" si="14"/>
        <v>0</v>
      </c>
      <c r="H216" s="2">
        <f t="shared" si="15"/>
        <v>0</v>
      </c>
      <c r="I216" s="20">
        <f t="shared" si="16"/>
        <v>0</v>
      </c>
      <c r="J216" s="2">
        <f t="shared" si="17"/>
        <v>0</v>
      </c>
      <c r="K216" s="1">
        <v>4.99</v>
      </c>
    </row>
    <row r="217" spans="1:11" x14ac:dyDescent="0.25">
      <c r="A217" s="3"/>
      <c r="B217" s="3"/>
      <c r="C217" s="60"/>
      <c r="D217" s="60"/>
      <c r="E217" s="41"/>
      <c r="F217" s="41"/>
      <c r="G217" s="1">
        <f t="shared" si="14"/>
        <v>0</v>
      </c>
      <c r="H217" s="2">
        <f t="shared" si="15"/>
        <v>0</v>
      </c>
      <c r="I217" s="20">
        <f t="shared" si="16"/>
        <v>0</v>
      </c>
      <c r="J217" s="2">
        <f t="shared" si="17"/>
        <v>0</v>
      </c>
      <c r="K217" s="1">
        <v>4.99</v>
      </c>
    </row>
    <row r="218" spans="1:11" x14ac:dyDescent="0.25">
      <c r="A218" s="3"/>
      <c r="B218" s="3"/>
      <c r="C218" s="60"/>
      <c r="D218" s="60"/>
      <c r="E218" s="41"/>
      <c r="F218" s="41"/>
      <c r="G218" s="1">
        <f t="shared" si="14"/>
        <v>0</v>
      </c>
      <c r="H218" s="2">
        <f t="shared" si="15"/>
        <v>0</v>
      </c>
      <c r="I218" s="20">
        <f t="shared" si="16"/>
        <v>0</v>
      </c>
      <c r="J218" s="2">
        <f t="shared" si="17"/>
        <v>0</v>
      </c>
      <c r="K218" s="1">
        <v>4.99</v>
      </c>
    </row>
    <row r="219" spans="1:11" x14ac:dyDescent="0.25">
      <c r="A219" s="3"/>
      <c r="B219" s="3"/>
      <c r="C219" s="60"/>
      <c r="D219" s="60"/>
      <c r="E219" s="41"/>
      <c r="F219" s="41"/>
      <c r="G219" s="1">
        <f t="shared" si="14"/>
        <v>0</v>
      </c>
      <c r="H219" s="2">
        <f t="shared" si="15"/>
        <v>0</v>
      </c>
      <c r="I219" s="20">
        <f t="shared" si="16"/>
        <v>0</v>
      </c>
      <c r="J219" s="2">
        <f t="shared" si="17"/>
        <v>0</v>
      </c>
      <c r="K219" s="1">
        <v>4.99</v>
      </c>
    </row>
    <row r="220" spans="1:11" x14ac:dyDescent="0.25">
      <c r="A220" s="3"/>
      <c r="B220" s="3"/>
      <c r="C220" s="60"/>
      <c r="D220" s="60"/>
      <c r="E220" s="41"/>
      <c r="F220" s="41"/>
      <c r="G220" s="1">
        <f t="shared" si="14"/>
        <v>0</v>
      </c>
      <c r="H220" s="2">
        <f t="shared" si="15"/>
        <v>0</v>
      </c>
      <c r="I220" s="20">
        <f t="shared" si="16"/>
        <v>0</v>
      </c>
      <c r="J220" s="2">
        <f t="shared" si="17"/>
        <v>0</v>
      </c>
      <c r="K220" s="1">
        <v>4.99</v>
      </c>
    </row>
    <row r="221" spans="1:11" x14ac:dyDescent="0.25">
      <c r="A221" s="3"/>
      <c r="B221" s="3"/>
      <c r="C221" s="60"/>
      <c r="D221" s="60"/>
      <c r="E221" s="41"/>
      <c r="F221" s="41"/>
      <c r="G221" s="1">
        <f t="shared" si="14"/>
        <v>0</v>
      </c>
      <c r="H221" s="2">
        <f t="shared" si="15"/>
        <v>0</v>
      </c>
      <c r="I221" s="20">
        <f t="shared" si="16"/>
        <v>0</v>
      </c>
      <c r="J221" s="2">
        <f t="shared" si="17"/>
        <v>0</v>
      </c>
      <c r="K221" s="1">
        <v>4.99</v>
      </c>
    </row>
    <row r="222" spans="1:11" x14ac:dyDescent="0.25">
      <c r="A222" s="3"/>
      <c r="B222" s="3"/>
      <c r="C222" s="60"/>
      <c r="D222" s="60"/>
      <c r="E222" s="41"/>
      <c r="F222" s="41"/>
      <c r="G222" s="1">
        <f t="shared" si="14"/>
        <v>0</v>
      </c>
      <c r="H222" s="2">
        <f t="shared" si="15"/>
        <v>0</v>
      </c>
      <c r="I222" s="20">
        <f t="shared" si="16"/>
        <v>0</v>
      </c>
      <c r="J222" s="2">
        <f t="shared" si="17"/>
        <v>0</v>
      </c>
      <c r="K222" s="1">
        <v>4.99</v>
      </c>
    </row>
    <row r="223" spans="1:11" x14ac:dyDescent="0.25">
      <c r="A223" s="3"/>
      <c r="B223" s="3"/>
      <c r="C223" s="60"/>
      <c r="D223" s="60"/>
      <c r="E223" s="41"/>
      <c r="F223" s="41"/>
      <c r="G223" s="1">
        <f t="shared" si="14"/>
        <v>0</v>
      </c>
      <c r="H223" s="2">
        <f t="shared" si="15"/>
        <v>0</v>
      </c>
      <c r="I223" s="20">
        <f t="shared" si="16"/>
        <v>0</v>
      </c>
      <c r="J223" s="2">
        <f t="shared" si="17"/>
        <v>0</v>
      </c>
      <c r="K223" s="1">
        <v>4.99</v>
      </c>
    </row>
    <row r="224" spans="1:11" x14ac:dyDescent="0.25">
      <c r="A224" s="3"/>
      <c r="B224" s="3"/>
      <c r="C224" s="60"/>
      <c r="D224" s="60"/>
      <c r="E224" s="41"/>
      <c r="F224" s="41"/>
      <c r="G224" s="1">
        <f t="shared" si="14"/>
        <v>0</v>
      </c>
      <c r="H224" s="2">
        <f t="shared" si="15"/>
        <v>0</v>
      </c>
      <c r="I224" s="20">
        <f t="shared" si="16"/>
        <v>0</v>
      </c>
      <c r="J224" s="2">
        <f t="shared" si="17"/>
        <v>0</v>
      </c>
      <c r="K224" s="1">
        <v>4.99</v>
      </c>
    </row>
    <row r="225" spans="1:11" x14ac:dyDescent="0.25">
      <c r="A225" s="3"/>
      <c r="B225" s="3"/>
      <c r="C225" s="60"/>
      <c r="D225" s="60"/>
      <c r="E225" s="41"/>
      <c r="F225" s="41"/>
      <c r="G225" s="1">
        <f t="shared" si="14"/>
        <v>0</v>
      </c>
      <c r="H225" s="2">
        <f t="shared" si="15"/>
        <v>0</v>
      </c>
      <c r="I225" s="20">
        <f t="shared" si="16"/>
        <v>0</v>
      </c>
      <c r="J225" s="2">
        <f t="shared" si="17"/>
        <v>0</v>
      </c>
      <c r="K225" s="1">
        <v>4.99</v>
      </c>
    </row>
    <row r="226" spans="1:11" x14ac:dyDescent="0.25">
      <c r="A226" s="3"/>
      <c r="B226" s="3"/>
      <c r="C226" s="60"/>
      <c r="D226" s="60"/>
      <c r="E226" s="41"/>
      <c r="F226" s="41"/>
      <c r="G226" s="1">
        <f t="shared" si="14"/>
        <v>0</v>
      </c>
      <c r="H226" s="2">
        <f t="shared" si="15"/>
        <v>0</v>
      </c>
      <c r="I226" s="20">
        <f t="shared" si="16"/>
        <v>0</v>
      </c>
      <c r="J226" s="2">
        <f t="shared" si="17"/>
        <v>0</v>
      </c>
      <c r="K226" s="1">
        <v>4.99</v>
      </c>
    </row>
    <row r="227" spans="1:11" x14ac:dyDescent="0.25">
      <c r="A227" s="3"/>
      <c r="B227" s="3"/>
      <c r="C227" s="60"/>
      <c r="D227" s="60"/>
      <c r="E227" s="41"/>
      <c r="F227" s="41"/>
      <c r="G227" s="1">
        <f t="shared" si="14"/>
        <v>0</v>
      </c>
      <c r="H227" s="2">
        <f t="shared" si="15"/>
        <v>0</v>
      </c>
      <c r="I227" s="20">
        <f t="shared" si="16"/>
        <v>0</v>
      </c>
      <c r="J227" s="2">
        <f t="shared" si="17"/>
        <v>0</v>
      </c>
      <c r="K227" s="1">
        <v>4.99</v>
      </c>
    </row>
    <row r="228" spans="1:11" x14ac:dyDescent="0.25">
      <c r="A228" s="3"/>
      <c r="B228" s="3"/>
      <c r="C228" s="60"/>
      <c r="D228" s="60"/>
      <c r="E228" s="41"/>
      <c r="F228" s="41"/>
      <c r="G228" s="1">
        <f t="shared" si="14"/>
        <v>0</v>
      </c>
      <c r="H228" s="2">
        <f t="shared" si="15"/>
        <v>0</v>
      </c>
      <c r="I228" s="20">
        <f t="shared" si="16"/>
        <v>0</v>
      </c>
      <c r="J228" s="2">
        <f t="shared" si="17"/>
        <v>0</v>
      </c>
      <c r="K228" s="1">
        <v>4.99</v>
      </c>
    </row>
    <row r="229" spans="1:11" x14ac:dyDescent="0.25">
      <c r="A229" s="3"/>
      <c r="B229" s="3"/>
      <c r="C229" s="60"/>
      <c r="D229" s="60"/>
      <c r="E229" s="41"/>
      <c r="F229" s="41"/>
      <c r="G229" s="1">
        <f t="shared" si="14"/>
        <v>0</v>
      </c>
      <c r="H229" s="2">
        <f t="shared" si="15"/>
        <v>0</v>
      </c>
      <c r="I229" s="20">
        <f t="shared" si="16"/>
        <v>0</v>
      </c>
      <c r="J229" s="2">
        <f t="shared" si="17"/>
        <v>0</v>
      </c>
      <c r="K229" s="1">
        <v>4.99</v>
      </c>
    </row>
    <row r="230" spans="1:11" x14ac:dyDescent="0.25">
      <c r="A230" s="3"/>
      <c r="B230" s="3"/>
      <c r="C230" s="60"/>
      <c r="D230" s="60"/>
      <c r="E230" s="41"/>
      <c r="F230" s="41"/>
      <c r="G230" s="1">
        <f t="shared" si="14"/>
        <v>0</v>
      </c>
      <c r="H230" s="2">
        <f t="shared" si="15"/>
        <v>0</v>
      </c>
      <c r="I230" s="20">
        <f t="shared" si="16"/>
        <v>0</v>
      </c>
      <c r="J230" s="2">
        <f t="shared" si="17"/>
        <v>0</v>
      </c>
      <c r="K230" s="1">
        <v>4.99</v>
      </c>
    </row>
    <row r="231" spans="1:11" x14ac:dyDescent="0.25">
      <c r="A231" s="3"/>
      <c r="B231" s="3"/>
      <c r="C231" s="60"/>
      <c r="D231" s="60"/>
      <c r="E231" s="41"/>
      <c r="F231" s="41"/>
      <c r="G231" s="1">
        <f t="shared" si="14"/>
        <v>0</v>
      </c>
      <c r="H231" s="2">
        <f t="shared" si="15"/>
        <v>0</v>
      </c>
      <c r="I231" s="20">
        <f t="shared" si="16"/>
        <v>0</v>
      </c>
      <c r="J231" s="2">
        <f t="shared" si="17"/>
        <v>0</v>
      </c>
      <c r="K231" s="1">
        <v>4.99</v>
      </c>
    </row>
    <row r="232" spans="1:11" x14ac:dyDescent="0.25">
      <c r="A232" s="3"/>
      <c r="B232" s="3"/>
      <c r="C232" s="60"/>
      <c r="D232" s="60"/>
      <c r="E232" s="41"/>
      <c r="F232" s="41"/>
      <c r="G232" s="1">
        <f t="shared" si="14"/>
        <v>0</v>
      </c>
      <c r="H232" s="2">
        <f t="shared" si="15"/>
        <v>0</v>
      </c>
      <c r="I232" s="20">
        <f t="shared" si="16"/>
        <v>0</v>
      </c>
      <c r="J232" s="2">
        <f t="shared" si="17"/>
        <v>0</v>
      </c>
      <c r="K232" s="1">
        <v>4.99</v>
      </c>
    </row>
    <row r="233" spans="1:11" x14ac:dyDescent="0.25">
      <c r="A233" s="3"/>
      <c r="B233" s="3"/>
      <c r="C233" s="60"/>
      <c r="D233" s="60"/>
      <c r="E233" s="41"/>
      <c r="F233" s="41"/>
      <c r="G233" s="1">
        <f t="shared" si="14"/>
        <v>0</v>
      </c>
      <c r="H233" s="2">
        <f t="shared" si="15"/>
        <v>0</v>
      </c>
      <c r="I233" s="20">
        <f t="shared" si="16"/>
        <v>0</v>
      </c>
      <c r="J233" s="2">
        <f t="shared" si="17"/>
        <v>0</v>
      </c>
      <c r="K233" s="1">
        <v>4.99</v>
      </c>
    </row>
    <row r="234" spans="1:11" x14ac:dyDescent="0.25">
      <c r="A234" s="3"/>
      <c r="B234" s="3"/>
      <c r="C234" s="60"/>
      <c r="D234" s="60"/>
      <c r="E234" s="41"/>
      <c r="F234" s="41"/>
      <c r="G234" s="1">
        <f t="shared" si="14"/>
        <v>0</v>
      </c>
      <c r="H234" s="2">
        <f t="shared" si="15"/>
        <v>0</v>
      </c>
      <c r="I234" s="20">
        <f t="shared" si="16"/>
        <v>0</v>
      </c>
      <c r="J234" s="2">
        <f t="shared" si="17"/>
        <v>0</v>
      </c>
      <c r="K234" s="1">
        <v>4.99</v>
      </c>
    </row>
    <row r="235" spans="1:11" x14ac:dyDescent="0.25">
      <c r="A235" s="3"/>
      <c r="B235" s="3"/>
      <c r="C235" s="60"/>
      <c r="D235" s="60"/>
      <c r="E235" s="41"/>
      <c r="F235" s="41"/>
      <c r="G235" s="1">
        <f t="shared" si="14"/>
        <v>0</v>
      </c>
      <c r="H235" s="2">
        <f t="shared" si="15"/>
        <v>0</v>
      </c>
      <c r="I235" s="20">
        <f t="shared" si="16"/>
        <v>0</v>
      </c>
      <c r="J235" s="2">
        <f t="shared" si="17"/>
        <v>0</v>
      </c>
      <c r="K235" s="1">
        <v>4.99</v>
      </c>
    </row>
    <row r="236" spans="1:11" x14ac:dyDescent="0.25">
      <c r="A236" s="3"/>
      <c r="B236" s="3"/>
      <c r="C236" s="60"/>
      <c r="D236" s="60"/>
      <c r="E236" s="41"/>
      <c r="F236" s="41"/>
      <c r="G236" s="1">
        <f t="shared" si="14"/>
        <v>0</v>
      </c>
      <c r="H236" s="2">
        <f t="shared" si="15"/>
        <v>0</v>
      </c>
      <c r="I236" s="20">
        <f t="shared" si="16"/>
        <v>0</v>
      </c>
      <c r="J236" s="2">
        <f t="shared" si="17"/>
        <v>0</v>
      </c>
      <c r="K236" s="1">
        <v>4.99</v>
      </c>
    </row>
    <row r="237" spans="1:11" x14ac:dyDescent="0.25">
      <c r="A237" s="3"/>
      <c r="B237" s="3"/>
      <c r="C237" s="60"/>
      <c r="D237" s="60"/>
      <c r="E237" s="41"/>
      <c r="F237" s="41"/>
      <c r="G237" s="1">
        <f t="shared" si="14"/>
        <v>0</v>
      </c>
      <c r="H237" s="2">
        <f t="shared" si="15"/>
        <v>0</v>
      </c>
      <c r="I237" s="20">
        <f t="shared" si="16"/>
        <v>0</v>
      </c>
      <c r="J237" s="2">
        <f t="shared" si="17"/>
        <v>0</v>
      </c>
      <c r="K237" s="1">
        <v>4.99</v>
      </c>
    </row>
    <row r="238" spans="1:11" x14ac:dyDescent="0.25">
      <c r="A238" s="3"/>
      <c r="B238" s="3"/>
      <c r="C238" s="60"/>
      <c r="D238" s="60"/>
      <c r="E238" s="41"/>
      <c r="F238" s="41"/>
      <c r="G238" s="1">
        <f t="shared" si="14"/>
        <v>0</v>
      </c>
      <c r="H238" s="2">
        <f t="shared" si="15"/>
        <v>0</v>
      </c>
      <c r="I238" s="20">
        <f t="shared" si="16"/>
        <v>0</v>
      </c>
      <c r="J238" s="2">
        <f t="shared" si="17"/>
        <v>0</v>
      </c>
      <c r="K238" s="1">
        <v>4.99</v>
      </c>
    </row>
    <row r="239" spans="1:11" x14ac:dyDescent="0.25">
      <c r="A239" s="3"/>
      <c r="B239" s="3"/>
      <c r="C239" s="60"/>
      <c r="D239" s="60"/>
      <c r="E239" s="41"/>
      <c r="F239" s="41"/>
      <c r="G239" s="1">
        <f t="shared" si="14"/>
        <v>0</v>
      </c>
      <c r="H239" s="2">
        <f t="shared" si="15"/>
        <v>0</v>
      </c>
      <c r="I239" s="20">
        <f t="shared" si="16"/>
        <v>0</v>
      </c>
      <c r="J239" s="2">
        <f t="shared" si="17"/>
        <v>0</v>
      </c>
      <c r="K239" s="1">
        <v>4.99</v>
      </c>
    </row>
    <row r="240" spans="1:11" x14ac:dyDescent="0.25">
      <c r="A240" s="3"/>
      <c r="B240" s="3"/>
      <c r="C240" s="60"/>
      <c r="D240" s="60"/>
      <c r="E240" s="41"/>
      <c r="F240" s="41"/>
      <c r="G240" s="1">
        <f t="shared" si="14"/>
        <v>0</v>
      </c>
      <c r="H240" s="2">
        <f t="shared" si="15"/>
        <v>0</v>
      </c>
      <c r="I240" s="20">
        <f t="shared" si="16"/>
        <v>0</v>
      </c>
      <c r="J240" s="2">
        <f t="shared" si="17"/>
        <v>0</v>
      </c>
      <c r="K240" s="1">
        <v>4.99</v>
      </c>
    </row>
    <row r="241" spans="1:11" x14ac:dyDescent="0.25">
      <c r="A241" s="3"/>
      <c r="B241" s="3"/>
      <c r="C241" s="60"/>
      <c r="D241" s="60"/>
      <c r="E241" s="41"/>
      <c r="F241" s="41"/>
      <c r="G241" s="1">
        <f t="shared" si="14"/>
        <v>0</v>
      </c>
      <c r="H241" s="2">
        <f t="shared" si="15"/>
        <v>0</v>
      </c>
      <c r="I241" s="20">
        <f t="shared" si="16"/>
        <v>0</v>
      </c>
      <c r="J241" s="2">
        <f t="shared" si="17"/>
        <v>0</v>
      </c>
      <c r="K241" s="1">
        <v>4.99</v>
      </c>
    </row>
    <row r="242" spans="1:11" x14ac:dyDescent="0.25">
      <c r="A242" s="3"/>
      <c r="B242" s="3"/>
      <c r="C242" s="60"/>
      <c r="D242" s="60"/>
      <c r="E242" s="41"/>
      <c r="F242" s="41"/>
      <c r="G242" s="1">
        <f t="shared" si="14"/>
        <v>0</v>
      </c>
      <c r="H242" s="2">
        <f t="shared" si="15"/>
        <v>0</v>
      </c>
      <c r="I242" s="20">
        <f t="shared" si="16"/>
        <v>0</v>
      </c>
      <c r="J242" s="2">
        <f t="shared" si="17"/>
        <v>0</v>
      </c>
      <c r="K242" s="1">
        <v>4.99</v>
      </c>
    </row>
    <row r="243" spans="1:11" x14ac:dyDescent="0.25">
      <c r="A243" s="3"/>
      <c r="B243" s="3"/>
      <c r="C243" s="60"/>
      <c r="D243" s="60"/>
      <c r="E243" s="41"/>
      <c r="F243" s="41"/>
      <c r="G243" s="1">
        <f t="shared" si="14"/>
        <v>0</v>
      </c>
      <c r="H243" s="2">
        <f t="shared" si="15"/>
        <v>0</v>
      </c>
      <c r="I243" s="20">
        <f t="shared" si="16"/>
        <v>0</v>
      </c>
      <c r="J243" s="2">
        <f t="shared" si="17"/>
        <v>0</v>
      </c>
      <c r="K243" s="1">
        <v>4.99</v>
      </c>
    </row>
    <row r="244" spans="1:11" x14ac:dyDescent="0.25">
      <c r="A244" s="3"/>
      <c r="B244" s="3"/>
      <c r="C244" s="60"/>
      <c r="D244" s="60"/>
      <c r="E244" s="41"/>
      <c r="F244" s="41"/>
      <c r="G244" s="1">
        <f t="shared" si="14"/>
        <v>0</v>
      </c>
      <c r="H244" s="2">
        <f t="shared" si="15"/>
        <v>0</v>
      </c>
      <c r="I244" s="20">
        <f t="shared" si="16"/>
        <v>0</v>
      </c>
      <c r="J244" s="2">
        <f t="shared" si="17"/>
        <v>0</v>
      </c>
      <c r="K244" s="1">
        <v>4.99</v>
      </c>
    </row>
    <row r="245" spans="1:11" x14ac:dyDescent="0.25">
      <c r="A245" s="3"/>
      <c r="B245" s="3"/>
      <c r="C245" s="60"/>
      <c r="D245" s="60"/>
      <c r="E245" s="41"/>
      <c r="F245" s="41"/>
      <c r="G245" s="1">
        <f t="shared" si="14"/>
        <v>0</v>
      </c>
      <c r="H245" s="2">
        <f t="shared" si="15"/>
        <v>0</v>
      </c>
      <c r="I245" s="20">
        <f t="shared" si="16"/>
        <v>0</v>
      </c>
      <c r="J245" s="2">
        <f t="shared" si="17"/>
        <v>0</v>
      </c>
      <c r="K245" s="1">
        <v>4.99</v>
      </c>
    </row>
    <row r="246" spans="1:11" x14ac:dyDescent="0.25">
      <c r="A246" s="3"/>
      <c r="B246" s="3"/>
      <c r="C246" s="60"/>
      <c r="D246" s="60"/>
      <c r="E246" s="41"/>
      <c r="F246" s="41"/>
      <c r="G246" s="1">
        <f t="shared" si="14"/>
        <v>0</v>
      </c>
      <c r="H246" s="2">
        <f t="shared" si="15"/>
        <v>0</v>
      </c>
      <c r="I246" s="20">
        <f t="shared" si="16"/>
        <v>0</v>
      </c>
      <c r="J246" s="2">
        <f t="shared" si="17"/>
        <v>0</v>
      </c>
      <c r="K246" s="1">
        <v>4.99</v>
      </c>
    </row>
    <row r="247" spans="1:11" x14ac:dyDescent="0.25">
      <c r="A247" s="3"/>
      <c r="B247" s="3"/>
      <c r="C247" s="60"/>
      <c r="D247" s="60"/>
      <c r="E247" s="41"/>
      <c r="F247" s="41"/>
      <c r="G247" s="1">
        <f t="shared" si="14"/>
        <v>0</v>
      </c>
      <c r="H247" s="2">
        <f t="shared" si="15"/>
        <v>0</v>
      </c>
      <c r="I247" s="20">
        <f t="shared" si="16"/>
        <v>0</v>
      </c>
      <c r="J247" s="2">
        <f t="shared" si="17"/>
        <v>0</v>
      </c>
      <c r="K247" s="1">
        <v>4.99</v>
      </c>
    </row>
    <row r="248" spans="1:11" x14ac:dyDescent="0.25">
      <c r="A248" s="3"/>
      <c r="B248" s="3"/>
      <c r="C248" s="60"/>
      <c r="D248" s="60"/>
      <c r="E248" s="41"/>
      <c r="F248" s="41"/>
      <c r="G248" s="1">
        <f t="shared" si="14"/>
        <v>0</v>
      </c>
      <c r="H248" s="2">
        <f t="shared" si="15"/>
        <v>0</v>
      </c>
      <c r="I248" s="20">
        <f t="shared" si="16"/>
        <v>0</v>
      </c>
      <c r="J248" s="2">
        <f t="shared" si="17"/>
        <v>0</v>
      </c>
      <c r="K248" s="1">
        <v>4.99</v>
      </c>
    </row>
    <row r="249" spans="1:11" x14ac:dyDescent="0.25">
      <c r="A249" s="3"/>
      <c r="B249" s="3"/>
      <c r="C249" s="60"/>
      <c r="D249" s="60"/>
      <c r="E249" s="41"/>
      <c r="F249" s="41"/>
      <c r="G249" s="1">
        <f t="shared" si="14"/>
        <v>0</v>
      </c>
      <c r="H249" s="2">
        <f t="shared" si="15"/>
        <v>0</v>
      </c>
      <c r="I249" s="20">
        <f t="shared" si="16"/>
        <v>0</v>
      </c>
      <c r="J249" s="2">
        <f t="shared" si="17"/>
        <v>0</v>
      </c>
      <c r="K249" s="1">
        <v>4.99</v>
      </c>
    </row>
    <row r="250" spans="1:11" x14ac:dyDescent="0.25">
      <c r="A250" s="3"/>
      <c r="B250" s="3"/>
      <c r="C250" s="60"/>
      <c r="D250" s="60"/>
      <c r="E250" s="41"/>
      <c r="F250" s="41"/>
      <c r="G250" s="1">
        <f t="shared" si="14"/>
        <v>0</v>
      </c>
      <c r="H250" s="2">
        <f t="shared" si="15"/>
        <v>0</v>
      </c>
      <c r="I250" s="20">
        <f t="shared" ref="I250:I271" si="18">IF(F250&gt;0,H250-G250,0)</f>
        <v>0</v>
      </c>
      <c r="J250" s="2">
        <f t="shared" ref="J250:J271" si="19">IF(F250&gt;0,F250-E250,0)</f>
        <v>0</v>
      </c>
      <c r="K250" s="1">
        <v>4.99</v>
      </c>
    </row>
    <row r="251" spans="1:11" x14ac:dyDescent="0.25">
      <c r="A251" s="3"/>
      <c r="B251" s="3"/>
      <c r="C251" s="60"/>
      <c r="D251" s="60"/>
      <c r="E251" s="41"/>
      <c r="F251" s="41"/>
      <c r="G251" s="1">
        <f t="shared" si="14"/>
        <v>0</v>
      </c>
      <c r="H251" s="2">
        <f t="shared" si="15"/>
        <v>0</v>
      </c>
      <c r="I251" s="20">
        <f t="shared" si="18"/>
        <v>0</v>
      </c>
      <c r="J251" s="2">
        <f t="shared" si="19"/>
        <v>0</v>
      </c>
      <c r="K251" s="1">
        <v>4.99</v>
      </c>
    </row>
    <row r="252" spans="1:11" x14ac:dyDescent="0.25">
      <c r="A252" s="3"/>
      <c r="B252" s="3"/>
      <c r="C252" s="60"/>
      <c r="D252" s="60"/>
      <c r="E252" s="41"/>
      <c r="F252" s="41"/>
      <c r="G252" s="1">
        <f t="shared" si="14"/>
        <v>0</v>
      </c>
      <c r="H252" s="2">
        <f t="shared" si="15"/>
        <v>0</v>
      </c>
      <c r="I252" s="20">
        <f t="shared" si="18"/>
        <v>0</v>
      </c>
      <c r="J252" s="2">
        <f t="shared" si="19"/>
        <v>0</v>
      </c>
      <c r="K252" s="1">
        <v>4.99</v>
      </c>
    </row>
    <row r="253" spans="1:11" x14ac:dyDescent="0.25">
      <c r="A253" s="3"/>
      <c r="B253" s="3"/>
      <c r="C253" s="60"/>
      <c r="D253" s="60"/>
      <c r="E253" s="41"/>
      <c r="F253" s="41"/>
      <c r="G253" s="1">
        <f t="shared" si="14"/>
        <v>0</v>
      </c>
      <c r="H253" s="2">
        <f t="shared" si="15"/>
        <v>0</v>
      </c>
      <c r="I253" s="20">
        <f t="shared" si="18"/>
        <v>0</v>
      </c>
      <c r="J253" s="2">
        <f t="shared" si="19"/>
        <v>0</v>
      </c>
      <c r="K253" s="1">
        <v>4.99</v>
      </c>
    </row>
    <row r="254" spans="1:11" x14ac:dyDescent="0.25">
      <c r="A254" s="3"/>
      <c r="B254" s="3"/>
      <c r="C254" s="60"/>
      <c r="D254" s="60"/>
      <c r="E254" s="41"/>
      <c r="F254" s="41"/>
      <c r="G254" s="1">
        <f t="shared" si="14"/>
        <v>0</v>
      </c>
      <c r="H254" s="2">
        <f t="shared" si="15"/>
        <v>0</v>
      </c>
      <c r="I254" s="20">
        <f t="shared" si="18"/>
        <v>0</v>
      </c>
      <c r="J254" s="2">
        <f t="shared" si="19"/>
        <v>0</v>
      </c>
      <c r="K254" s="1">
        <v>4.99</v>
      </c>
    </row>
    <row r="255" spans="1:11" x14ac:dyDescent="0.25">
      <c r="A255" s="3"/>
      <c r="B255" s="3"/>
      <c r="C255" s="60"/>
      <c r="D255" s="60"/>
      <c r="E255" s="41"/>
      <c r="F255" s="41"/>
      <c r="G255" s="1">
        <f t="shared" si="14"/>
        <v>0</v>
      </c>
      <c r="H255" s="2">
        <f t="shared" si="15"/>
        <v>0</v>
      </c>
      <c r="I255" s="20">
        <f t="shared" si="18"/>
        <v>0</v>
      </c>
      <c r="J255" s="2">
        <f t="shared" si="19"/>
        <v>0</v>
      </c>
      <c r="K255" s="1">
        <v>4.99</v>
      </c>
    </row>
    <row r="256" spans="1:11" x14ac:dyDescent="0.25">
      <c r="A256" s="3"/>
      <c r="B256" s="3"/>
      <c r="C256" s="60"/>
      <c r="D256" s="60"/>
      <c r="E256" s="41"/>
      <c r="F256" s="41"/>
      <c r="G256" s="1">
        <f t="shared" si="14"/>
        <v>0</v>
      </c>
      <c r="H256" s="2">
        <f t="shared" si="15"/>
        <v>0</v>
      </c>
      <c r="I256" s="20">
        <f t="shared" si="18"/>
        <v>0</v>
      </c>
      <c r="J256" s="2">
        <f t="shared" si="19"/>
        <v>0</v>
      </c>
      <c r="K256" s="1">
        <v>4.99</v>
      </c>
    </row>
    <row r="257" spans="1:11" x14ac:dyDescent="0.25">
      <c r="A257" s="3"/>
      <c r="B257" s="3"/>
      <c r="C257" s="60"/>
      <c r="D257" s="60"/>
      <c r="E257" s="41"/>
      <c r="F257" s="41"/>
      <c r="G257" s="1">
        <f t="shared" si="14"/>
        <v>0</v>
      </c>
      <c r="H257" s="2">
        <f t="shared" si="15"/>
        <v>0</v>
      </c>
      <c r="I257" s="20">
        <f t="shared" si="18"/>
        <v>0</v>
      </c>
      <c r="J257" s="2">
        <f t="shared" si="19"/>
        <v>0</v>
      </c>
      <c r="K257" s="1">
        <v>4.99</v>
      </c>
    </row>
    <row r="258" spans="1:11" x14ac:dyDescent="0.25">
      <c r="A258" s="3"/>
      <c r="B258" s="3"/>
      <c r="C258" s="60"/>
      <c r="D258" s="60"/>
      <c r="E258" s="41"/>
      <c r="F258" s="41"/>
      <c r="G258" s="1">
        <f t="shared" si="14"/>
        <v>0</v>
      </c>
      <c r="H258" s="2">
        <f t="shared" si="15"/>
        <v>0</v>
      </c>
      <c r="I258" s="20">
        <f t="shared" si="18"/>
        <v>0</v>
      </c>
      <c r="J258" s="2">
        <f t="shared" si="19"/>
        <v>0</v>
      </c>
      <c r="K258" s="1">
        <v>4.99</v>
      </c>
    </row>
    <row r="259" spans="1:11" x14ac:dyDescent="0.25">
      <c r="A259" s="3"/>
      <c r="B259" s="3"/>
      <c r="C259" s="60"/>
      <c r="D259" s="60"/>
      <c r="E259" s="41"/>
      <c r="F259" s="41"/>
      <c r="G259" s="1">
        <f t="shared" ref="G259:G271" si="20">IF(D259&gt;0,(D259*E259)+K259,0)</f>
        <v>0</v>
      </c>
      <c r="H259" s="2">
        <f t="shared" ref="H259:H271" si="21">IF(F259&gt;0,(D259*F259)-K259,0)</f>
        <v>0</v>
      </c>
      <c r="I259" s="20">
        <f t="shared" si="18"/>
        <v>0</v>
      </c>
      <c r="J259" s="2">
        <f t="shared" si="19"/>
        <v>0</v>
      </c>
      <c r="K259" s="1">
        <v>4.99</v>
      </c>
    </row>
    <row r="260" spans="1:11" x14ac:dyDescent="0.25">
      <c r="A260" s="3"/>
      <c r="B260" s="3"/>
      <c r="C260" s="60"/>
      <c r="D260" s="60"/>
      <c r="E260" s="41"/>
      <c r="F260" s="41"/>
      <c r="G260" s="1">
        <f t="shared" si="20"/>
        <v>0</v>
      </c>
      <c r="H260" s="2">
        <f t="shared" si="21"/>
        <v>0</v>
      </c>
      <c r="I260" s="20">
        <f t="shared" si="18"/>
        <v>0</v>
      </c>
      <c r="J260" s="2">
        <f t="shared" si="19"/>
        <v>0</v>
      </c>
      <c r="K260" s="1">
        <v>4.99</v>
      </c>
    </row>
    <row r="261" spans="1:11" x14ac:dyDescent="0.25">
      <c r="A261" s="3"/>
      <c r="B261" s="3"/>
      <c r="C261" s="60"/>
      <c r="D261" s="60"/>
      <c r="E261" s="41"/>
      <c r="F261" s="41"/>
      <c r="G261" s="1">
        <f t="shared" si="20"/>
        <v>0</v>
      </c>
      <c r="H261" s="2">
        <f t="shared" si="21"/>
        <v>0</v>
      </c>
      <c r="I261" s="20">
        <f t="shared" si="18"/>
        <v>0</v>
      </c>
      <c r="J261" s="2">
        <f t="shared" si="19"/>
        <v>0</v>
      </c>
      <c r="K261" s="1">
        <v>4.99</v>
      </c>
    </row>
    <row r="262" spans="1:11" x14ac:dyDescent="0.25">
      <c r="A262" s="3"/>
      <c r="B262" s="3"/>
      <c r="C262" s="60"/>
      <c r="D262" s="60"/>
      <c r="E262" s="41"/>
      <c r="F262" s="41"/>
      <c r="G262" s="1">
        <f t="shared" si="20"/>
        <v>0</v>
      </c>
      <c r="H262" s="2">
        <f t="shared" si="21"/>
        <v>0</v>
      </c>
      <c r="I262" s="20">
        <f t="shared" si="18"/>
        <v>0</v>
      </c>
      <c r="J262" s="2">
        <f t="shared" si="19"/>
        <v>0</v>
      </c>
      <c r="K262" s="1">
        <v>4.99</v>
      </c>
    </row>
    <row r="263" spans="1:11" x14ac:dyDescent="0.25">
      <c r="A263" s="3"/>
      <c r="B263" s="3"/>
      <c r="C263" s="60"/>
      <c r="D263" s="60"/>
      <c r="E263" s="41"/>
      <c r="F263" s="41"/>
      <c r="G263" s="1">
        <f t="shared" si="20"/>
        <v>0</v>
      </c>
      <c r="H263" s="2">
        <f t="shared" si="21"/>
        <v>0</v>
      </c>
      <c r="I263" s="20">
        <f t="shared" si="18"/>
        <v>0</v>
      </c>
      <c r="J263" s="2">
        <f t="shared" si="19"/>
        <v>0</v>
      </c>
      <c r="K263" s="1">
        <v>4.99</v>
      </c>
    </row>
    <row r="264" spans="1:11" x14ac:dyDescent="0.25">
      <c r="A264" s="3"/>
      <c r="B264" s="3"/>
      <c r="C264" s="60"/>
      <c r="D264" s="60"/>
      <c r="E264" s="41"/>
      <c r="F264" s="41"/>
      <c r="G264" s="1">
        <f t="shared" si="20"/>
        <v>0</v>
      </c>
      <c r="H264" s="2">
        <f t="shared" si="21"/>
        <v>0</v>
      </c>
      <c r="I264" s="20">
        <f t="shared" si="18"/>
        <v>0</v>
      </c>
      <c r="J264" s="2">
        <f t="shared" si="19"/>
        <v>0</v>
      </c>
      <c r="K264" s="1">
        <v>4.99</v>
      </c>
    </row>
    <row r="265" spans="1:11" x14ac:dyDescent="0.25">
      <c r="A265" s="3"/>
      <c r="B265" s="3"/>
      <c r="C265" s="60"/>
      <c r="D265" s="60"/>
      <c r="E265" s="41"/>
      <c r="F265" s="41"/>
      <c r="G265" s="1">
        <f t="shared" si="20"/>
        <v>0</v>
      </c>
      <c r="H265" s="2">
        <f t="shared" si="21"/>
        <v>0</v>
      </c>
      <c r="I265" s="20">
        <f t="shared" si="18"/>
        <v>0</v>
      </c>
      <c r="J265" s="2">
        <f t="shared" si="19"/>
        <v>0</v>
      </c>
      <c r="K265" s="1">
        <v>4.99</v>
      </c>
    </row>
    <row r="266" spans="1:11" x14ac:dyDescent="0.25">
      <c r="A266" s="3"/>
      <c r="B266" s="3"/>
      <c r="C266" s="60"/>
      <c r="D266" s="60"/>
      <c r="E266" s="41"/>
      <c r="F266" s="41"/>
      <c r="G266" s="1">
        <f t="shared" si="20"/>
        <v>0</v>
      </c>
      <c r="H266" s="2">
        <f t="shared" si="21"/>
        <v>0</v>
      </c>
      <c r="I266" s="20">
        <f t="shared" si="18"/>
        <v>0</v>
      </c>
      <c r="J266" s="2">
        <f t="shared" si="19"/>
        <v>0</v>
      </c>
      <c r="K266" s="1">
        <v>4.99</v>
      </c>
    </row>
    <row r="267" spans="1:11" x14ac:dyDescent="0.25">
      <c r="A267" s="3"/>
      <c r="B267" s="3"/>
      <c r="C267" s="60"/>
      <c r="D267" s="60"/>
      <c r="E267" s="41"/>
      <c r="F267" s="41"/>
      <c r="G267" s="1">
        <f t="shared" si="20"/>
        <v>0</v>
      </c>
      <c r="H267" s="2">
        <f t="shared" si="21"/>
        <v>0</v>
      </c>
      <c r="I267" s="20">
        <f t="shared" si="18"/>
        <v>0</v>
      </c>
      <c r="J267" s="2">
        <f t="shared" si="19"/>
        <v>0</v>
      </c>
      <c r="K267" s="1">
        <v>4.99</v>
      </c>
    </row>
    <row r="268" spans="1:11" x14ac:dyDescent="0.25">
      <c r="A268" s="3"/>
      <c r="B268" s="3"/>
      <c r="C268" s="60"/>
      <c r="D268" s="60"/>
      <c r="E268" s="41"/>
      <c r="F268" s="41"/>
      <c r="G268" s="1">
        <f t="shared" si="20"/>
        <v>0</v>
      </c>
      <c r="H268" s="2">
        <f t="shared" si="21"/>
        <v>0</v>
      </c>
      <c r="I268" s="20">
        <f t="shared" si="18"/>
        <v>0</v>
      </c>
      <c r="J268" s="2">
        <f t="shared" si="19"/>
        <v>0</v>
      </c>
      <c r="K268" s="1">
        <v>4.99</v>
      </c>
    </row>
    <row r="269" spans="1:11" x14ac:dyDescent="0.25">
      <c r="A269" s="3"/>
      <c r="B269" s="3"/>
      <c r="C269" s="60"/>
      <c r="D269" s="60"/>
      <c r="E269" s="41"/>
      <c r="F269" s="41"/>
      <c r="G269" s="1">
        <f t="shared" si="20"/>
        <v>0</v>
      </c>
      <c r="H269" s="2">
        <f t="shared" si="21"/>
        <v>0</v>
      </c>
      <c r="I269" s="20">
        <f t="shared" si="18"/>
        <v>0</v>
      </c>
      <c r="J269" s="2">
        <f t="shared" si="19"/>
        <v>0</v>
      </c>
      <c r="K269" s="1">
        <v>4.99</v>
      </c>
    </row>
    <row r="270" spans="1:11" x14ac:dyDescent="0.25">
      <c r="A270" s="3"/>
      <c r="B270" s="3"/>
      <c r="C270" s="60"/>
      <c r="D270" s="60"/>
      <c r="E270" s="41"/>
      <c r="F270" s="41"/>
      <c r="G270" s="1">
        <f t="shared" si="20"/>
        <v>0</v>
      </c>
      <c r="H270" s="2">
        <f t="shared" si="21"/>
        <v>0</v>
      </c>
      <c r="I270" s="20">
        <f t="shared" si="18"/>
        <v>0</v>
      </c>
      <c r="J270" s="2">
        <f t="shared" si="19"/>
        <v>0</v>
      </c>
      <c r="K270" s="1">
        <v>4.99</v>
      </c>
    </row>
    <row r="271" spans="1:11" x14ac:dyDescent="0.25">
      <c r="A271" s="3"/>
      <c r="B271" s="3"/>
      <c r="C271" s="60"/>
      <c r="D271" s="60"/>
      <c r="E271" s="41"/>
      <c r="F271" s="41"/>
      <c r="G271" s="1">
        <f t="shared" si="20"/>
        <v>0</v>
      </c>
      <c r="H271" s="2">
        <f t="shared" si="21"/>
        <v>0</v>
      </c>
      <c r="I271" s="20">
        <f t="shared" si="18"/>
        <v>0</v>
      </c>
      <c r="J271" s="2">
        <f t="shared" si="19"/>
        <v>0</v>
      </c>
      <c r="K271" s="1">
        <v>4.99</v>
      </c>
    </row>
  </sheetData>
  <dataValidations disablePrompts="1" count="1">
    <dataValidation type="list" allowBlank="1" showInputMessage="1" showErrorMessage="1" sqref="B1:B1048576">
      <formula1>AccountType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81"/>
  <sheetViews>
    <sheetView workbookViewId="0">
      <selection activeCell="B11" sqref="B11"/>
    </sheetView>
  </sheetViews>
  <sheetFormatPr defaultRowHeight="15" x14ac:dyDescent="0.25"/>
  <cols>
    <col min="1" max="1" width="7.140625" bestFit="1" customWidth="1"/>
    <col min="3" max="3" width="5" bestFit="1" customWidth="1"/>
    <col min="5" max="5" width="10.5703125" bestFit="1" customWidth="1"/>
    <col min="6" max="7" width="11.5703125" bestFit="1" customWidth="1"/>
    <col min="8" max="8" width="12.28515625" bestFit="1" customWidth="1"/>
    <col min="9" max="9" width="8.7109375" bestFit="1" customWidth="1"/>
  </cols>
  <sheetData>
    <row r="1" spans="1:13" x14ac:dyDescent="0.25">
      <c r="E1" s="1"/>
      <c r="F1" s="1"/>
      <c r="H1" s="2">
        <f>SUM(H3:H21)</f>
        <v>-1036.5399999999995</v>
      </c>
    </row>
    <row r="2" spans="1:13" x14ac:dyDescent="0.25">
      <c r="A2" s="4" t="s">
        <v>8</v>
      </c>
      <c r="B2" s="4" t="s">
        <v>4</v>
      </c>
      <c r="C2" s="4" t="s">
        <v>5</v>
      </c>
      <c r="D2" s="11" t="s">
        <v>6</v>
      </c>
      <c r="E2" s="12" t="s">
        <v>7</v>
      </c>
      <c r="F2" s="5" t="s">
        <v>0</v>
      </c>
      <c r="G2" s="4" t="s">
        <v>1</v>
      </c>
      <c r="H2" s="4" t="s">
        <v>2</v>
      </c>
      <c r="I2" s="4" t="s">
        <v>10</v>
      </c>
      <c r="M2" t="s">
        <v>3</v>
      </c>
    </row>
    <row r="3" spans="1:13" x14ac:dyDescent="0.25">
      <c r="A3" s="3">
        <v>41900</v>
      </c>
      <c r="B3" t="s">
        <v>19</v>
      </c>
      <c r="C3">
        <v>1000</v>
      </c>
      <c r="D3" s="13">
        <v>1.02</v>
      </c>
      <c r="E3" s="14">
        <v>0.59</v>
      </c>
      <c r="F3" s="1">
        <f>IF(C3&gt;0,(C3*D3)+M3,0)</f>
        <v>1029.99</v>
      </c>
      <c r="G3" s="2">
        <f>IF(E3&gt;0,(C3*E3)-M3,0)</f>
        <v>580.01</v>
      </c>
      <c r="H3" s="8">
        <f>IF(E3&gt;0,G3-F3,0)</f>
        <v>-449.98</v>
      </c>
      <c r="I3" s="2">
        <f>IF(E3&gt;0,E3-D3,0)</f>
        <v>-0.43000000000000005</v>
      </c>
      <c r="M3" s="1">
        <v>9.99</v>
      </c>
    </row>
    <row r="4" spans="1:13" s="7" customFormat="1" x14ac:dyDescent="0.25">
      <c r="A4" s="6">
        <v>41900</v>
      </c>
      <c r="B4" s="7" t="s">
        <v>11</v>
      </c>
      <c r="C4" s="7">
        <v>2000</v>
      </c>
      <c r="D4" s="15">
        <v>2.6032999999999999</v>
      </c>
      <c r="E4" s="16">
        <v>2.2799999999999998</v>
      </c>
      <c r="F4" s="1">
        <f>IF(C4&gt;0,(C4*D4)+M4,0)</f>
        <v>5216.5899999999992</v>
      </c>
      <c r="G4" s="2">
        <f>IF(E4&gt;0,(C4*E4)-M4,0)</f>
        <v>4550.01</v>
      </c>
      <c r="H4" s="8">
        <f>IF(E4&gt;0,G4-F4,0)</f>
        <v>-666.57999999999902</v>
      </c>
      <c r="I4" s="2">
        <f>IF(E4&gt;0,E4-D4,0)</f>
        <v>-0.32330000000000014</v>
      </c>
      <c r="M4" s="1">
        <v>9.99</v>
      </c>
    </row>
    <row r="5" spans="1:13" x14ac:dyDescent="0.25">
      <c r="A5" s="6">
        <v>41900</v>
      </c>
      <c r="B5" s="7" t="s">
        <v>9</v>
      </c>
      <c r="C5">
        <v>1000</v>
      </c>
      <c r="D5" s="13">
        <v>8.0500000000000007</v>
      </c>
      <c r="E5" s="21">
        <v>8.15</v>
      </c>
      <c r="F5" s="1">
        <f>IF(C5&gt;0,(C5*D5)+M5,0)</f>
        <v>8059.9900000000007</v>
      </c>
      <c r="G5" s="2">
        <f>IF(E5&gt;0,(C5*E5)-M5,0)</f>
        <v>8140.01</v>
      </c>
      <c r="H5" s="8">
        <f>IF(E5&gt;0,G5-F5,0)</f>
        <v>80.019999999999527</v>
      </c>
      <c r="I5" s="2">
        <f>IF(E5&gt;0,E5-D5,0)</f>
        <v>9.9999999999999645E-2</v>
      </c>
      <c r="M5" s="1">
        <v>9.99</v>
      </c>
    </row>
    <row r="6" spans="1:13" x14ac:dyDescent="0.25">
      <c r="A6" s="3"/>
      <c r="B6" s="7"/>
      <c r="D6" s="13"/>
      <c r="E6" s="21"/>
      <c r="F6" s="1">
        <f t="shared" ref="F6:F65" si="0">IF(C6&gt;0,(C6*D6)+M6,0)</f>
        <v>0</v>
      </c>
      <c r="G6" s="2">
        <f t="shared" ref="G6:G65" si="1">IF(E6&gt;0,(C6*E6)-M6,0)</f>
        <v>0</v>
      </c>
      <c r="H6" s="8">
        <f t="shared" ref="H6:H65" si="2">IF(E6&gt;0,G6-F6,0)</f>
        <v>0</v>
      </c>
      <c r="I6" s="2">
        <f t="shared" ref="I6:I65" si="3">IF(E6&gt;0,E6-D6,0)</f>
        <v>0</v>
      </c>
      <c r="M6" s="1">
        <v>9.99</v>
      </c>
    </row>
    <row r="7" spans="1:13" x14ac:dyDescent="0.25">
      <c r="A7" s="6"/>
      <c r="B7" s="7"/>
      <c r="C7" s="7"/>
      <c r="D7" s="15"/>
      <c r="E7" s="16"/>
      <c r="F7" s="1">
        <f t="shared" si="0"/>
        <v>0</v>
      </c>
      <c r="G7" s="2">
        <f t="shared" si="1"/>
        <v>0</v>
      </c>
      <c r="H7" s="8">
        <f t="shared" si="2"/>
        <v>0</v>
      </c>
      <c r="I7" s="2">
        <f t="shared" si="3"/>
        <v>0</v>
      </c>
      <c r="M7" s="1">
        <v>9.99</v>
      </c>
    </row>
    <row r="8" spans="1:13" x14ac:dyDescent="0.25">
      <c r="A8" s="6"/>
      <c r="B8" s="7"/>
      <c r="C8" s="7"/>
      <c r="D8" s="15"/>
      <c r="E8" s="16"/>
      <c r="F8" s="1">
        <f t="shared" si="0"/>
        <v>0</v>
      </c>
      <c r="G8" s="2">
        <f t="shared" si="1"/>
        <v>0</v>
      </c>
      <c r="H8" s="8">
        <f t="shared" si="2"/>
        <v>0</v>
      </c>
      <c r="I8" s="2">
        <f t="shared" si="3"/>
        <v>0</v>
      </c>
      <c r="M8" s="1">
        <v>9.99</v>
      </c>
    </row>
    <row r="9" spans="1:13" x14ac:dyDescent="0.25">
      <c r="A9" s="3"/>
      <c r="B9" s="7"/>
      <c r="C9" s="7"/>
      <c r="D9" s="13"/>
      <c r="E9" s="14"/>
      <c r="F9" s="1">
        <f t="shared" si="0"/>
        <v>0</v>
      </c>
      <c r="G9" s="2">
        <f t="shared" si="1"/>
        <v>0</v>
      </c>
      <c r="H9" s="8">
        <f t="shared" si="2"/>
        <v>0</v>
      </c>
      <c r="I9" s="2">
        <f t="shared" si="3"/>
        <v>0</v>
      </c>
      <c r="M9" s="1">
        <v>9.99</v>
      </c>
    </row>
    <row r="10" spans="1:13" x14ac:dyDescent="0.25">
      <c r="A10" s="6"/>
      <c r="B10" s="7"/>
      <c r="C10" s="7"/>
      <c r="D10" s="15"/>
      <c r="E10" s="16"/>
      <c r="F10" s="20">
        <f t="shared" si="0"/>
        <v>0</v>
      </c>
      <c r="G10" s="2">
        <f t="shared" si="1"/>
        <v>0</v>
      </c>
      <c r="H10" s="8">
        <f t="shared" si="2"/>
        <v>0</v>
      </c>
      <c r="I10" s="2">
        <f t="shared" si="3"/>
        <v>0</v>
      </c>
      <c r="M10" s="1">
        <v>9.99</v>
      </c>
    </row>
    <row r="11" spans="1:13" x14ac:dyDescent="0.25">
      <c r="A11" s="6"/>
      <c r="B11" s="7"/>
      <c r="C11" s="7"/>
      <c r="D11" s="15"/>
      <c r="E11" s="16"/>
      <c r="F11" s="20">
        <f t="shared" si="0"/>
        <v>0</v>
      </c>
      <c r="G11" s="2">
        <f t="shared" si="1"/>
        <v>0</v>
      </c>
      <c r="H11" s="8">
        <f t="shared" si="2"/>
        <v>0</v>
      </c>
      <c r="I11" s="2">
        <f t="shared" si="3"/>
        <v>0</v>
      </c>
      <c r="M11" s="1">
        <v>9.99</v>
      </c>
    </row>
    <row r="12" spans="1:13" x14ac:dyDescent="0.25">
      <c r="A12" s="6"/>
      <c r="B12" s="7"/>
      <c r="C12" s="7"/>
      <c r="D12" s="15"/>
      <c r="E12" s="16"/>
      <c r="F12" s="20">
        <f t="shared" si="0"/>
        <v>0</v>
      </c>
      <c r="G12" s="2">
        <f t="shared" si="1"/>
        <v>0</v>
      </c>
      <c r="H12" s="8">
        <f t="shared" si="2"/>
        <v>0</v>
      </c>
      <c r="I12" s="2">
        <f t="shared" si="3"/>
        <v>0</v>
      </c>
      <c r="M12" s="1">
        <v>9.99</v>
      </c>
    </row>
    <row r="13" spans="1:13" x14ac:dyDescent="0.25">
      <c r="A13" s="6"/>
      <c r="B13" s="7"/>
      <c r="C13" s="7"/>
      <c r="D13" s="15"/>
      <c r="E13" s="16"/>
      <c r="F13" s="20">
        <f t="shared" si="0"/>
        <v>0</v>
      </c>
      <c r="G13" s="2">
        <f t="shared" si="1"/>
        <v>0</v>
      </c>
      <c r="H13" s="8">
        <f t="shared" si="2"/>
        <v>0</v>
      </c>
      <c r="I13" s="2">
        <f t="shared" si="3"/>
        <v>0</v>
      </c>
      <c r="M13" s="1">
        <v>9.99</v>
      </c>
    </row>
    <row r="14" spans="1:13" x14ac:dyDescent="0.25">
      <c r="A14" s="6"/>
      <c r="B14" s="7"/>
      <c r="C14" s="7"/>
      <c r="D14" s="15"/>
      <c r="E14" s="16"/>
      <c r="F14" s="20">
        <f t="shared" si="0"/>
        <v>0</v>
      </c>
      <c r="G14" s="2">
        <f t="shared" si="1"/>
        <v>0</v>
      </c>
      <c r="H14" s="8">
        <f t="shared" si="2"/>
        <v>0</v>
      </c>
      <c r="I14" s="2">
        <f t="shared" si="3"/>
        <v>0</v>
      </c>
      <c r="M14" s="1">
        <v>9.99</v>
      </c>
    </row>
    <row r="15" spans="1:13" x14ac:dyDescent="0.25">
      <c r="A15" s="6"/>
      <c r="B15" s="7"/>
      <c r="C15" s="7"/>
      <c r="D15" s="15"/>
      <c r="E15" s="16"/>
      <c r="F15" s="20">
        <f t="shared" si="0"/>
        <v>0</v>
      </c>
      <c r="G15" s="2">
        <f t="shared" si="1"/>
        <v>0</v>
      </c>
      <c r="H15" s="8">
        <f t="shared" si="2"/>
        <v>0</v>
      </c>
      <c r="I15" s="2">
        <f t="shared" si="3"/>
        <v>0</v>
      </c>
      <c r="M15" s="1">
        <v>9.99</v>
      </c>
    </row>
    <row r="16" spans="1:13" x14ac:dyDescent="0.25">
      <c r="A16" s="3"/>
      <c r="B16" s="7"/>
      <c r="C16" s="7"/>
      <c r="D16" s="13"/>
      <c r="E16" s="14"/>
      <c r="F16" s="1">
        <f t="shared" si="0"/>
        <v>0</v>
      </c>
      <c r="G16" s="2">
        <f t="shared" si="1"/>
        <v>0</v>
      </c>
      <c r="H16" s="8">
        <f t="shared" si="2"/>
        <v>0</v>
      </c>
      <c r="I16" s="2">
        <f t="shared" si="3"/>
        <v>0</v>
      </c>
      <c r="M16" s="1">
        <v>9.99</v>
      </c>
    </row>
    <row r="17" spans="1:13" x14ac:dyDescent="0.25">
      <c r="A17" s="3"/>
      <c r="B17" s="7"/>
      <c r="C17" s="7"/>
      <c r="D17" s="13"/>
      <c r="E17" s="14"/>
      <c r="F17" s="1">
        <f t="shared" si="0"/>
        <v>0</v>
      </c>
      <c r="G17" s="2">
        <f t="shared" si="1"/>
        <v>0</v>
      </c>
      <c r="H17" s="8">
        <f t="shared" si="2"/>
        <v>0</v>
      </c>
      <c r="I17" s="2">
        <f t="shared" si="3"/>
        <v>0</v>
      </c>
      <c r="M17" s="1">
        <v>9.99</v>
      </c>
    </row>
    <row r="18" spans="1:13" x14ac:dyDescent="0.25">
      <c r="A18" s="3"/>
      <c r="B18" s="7"/>
      <c r="C18" s="7"/>
      <c r="D18" s="13"/>
      <c r="E18" s="14"/>
      <c r="F18" s="1">
        <f t="shared" si="0"/>
        <v>0</v>
      </c>
      <c r="G18" s="2">
        <f t="shared" si="1"/>
        <v>0</v>
      </c>
      <c r="H18" s="8">
        <f t="shared" si="2"/>
        <v>0</v>
      </c>
      <c r="I18" s="2">
        <f t="shared" si="3"/>
        <v>0</v>
      </c>
      <c r="M18" s="1">
        <v>9.99</v>
      </c>
    </row>
    <row r="19" spans="1:13" x14ac:dyDescent="0.25">
      <c r="A19" s="3"/>
      <c r="B19" s="7"/>
      <c r="C19" s="7"/>
      <c r="D19" s="13"/>
      <c r="E19" s="14"/>
      <c r="F19" s="1">
        <f t="shared" si="0"/>
        <v>0</v>
      </c>
      <c r="G19" s="2">
        <f t="shared" si="1"/>
        <v>0</v>
      </c>
      <c r="H19" s="8">
        <f t="shared" si="2"/>
        <v>0</v>
      </c>
      <c r="I19" s="2">
        <f t="shared" si="3"/>
        <v>0</v>
      </c>
      <c r="M19" s="1">
        <v>9.99</v>
      </c>
    </row>
    <row r="20" spans="1:13" x14ac:dyDescent="0.25">
      <c r="A20" s="3"/>
      <c r="B20" s="7"/>
      <c r="C20" s="7"/>
      <c r="D20" s="13"/>
      <c r="E20" s="14"/>
      <c r="F20" s="1">
        <f t="shared" si="0"/>
        <v>0</v>
      </c>
      <c r="G20" s="2">
        <f t="shared" si="1"/>
        <v>0</v>
      </c>
      <c r="H20" s="8">
        <f t="shared" si="2"/>
        <v>0</v>
      </c>
      <c r="I20" s="2">
        <f t="shared" si="3"/>
        <v>0</v>
      </c>
      <c r="M20" s="1">
        <v>9.99</v>
      </c>
    </row>
    <row r="21" spans="1:13" x14ac:dyDescent="0.25">
      <c r="A21" s="3"/>
      <c r="B21" s="7"/>
      <c r="C21" s="7"/>
      <c r="D21" s="13"/>
      <c r="E21" s="14"/>
      <c r="F21" s="1">
        <f t="shared" si="0"/>
        <v>0</v>
      </c>
      <c r="G21" s="2">
        <f t="shared" si="1"/>
        <v>0</v>
      </c>
      <c r="H21" s="8">
        <f t="shared" si="2"/>
        <v>0</v>
      </c>
      <c r="I21" s="2">
        <f t="shared" si="3"/>
        <v>0</v>
      </c>
      <c r="M21" s="1">
        <v>9.99</v>
      </c>
    </row>
    <row r="22" spans="1:13" x14ac:dyDescent="0.25">
      <c r="A22" s="3"/>
      <c r="B22" s="7"/>
      <c r="C22" s="7"/>
      <c r="D22" s="13"/>
      <c r="E22" s="14"/>
      <c r="F22" s="1">
        <f t="shared" si="0"/>
        <v>0</v>
      </c>
      <c r="G22" s="2">
        <f t="shared" si="1"/>
        <v>0</v>
      </c>
      <c r="H22" s="8">
        <f t="shared" si="2"/>
        <v>0</v>
      </c>
      <c r="I22" s="2">
        <f t="shared" si="3"/>
        <v>0</v>
      </c>
      <c r="M22" s="1">
        <v>9.99</v>
      </c>
    </row>
    <row r="23" spans="1:13" x14ac:dyDescent="0.25">
      <c r="A23" s="3"/>
      <c r="B23" s="7"/>
      <c r="C23" s="7"/>
      <c r="D23" s="13"/>
      <c r="E23" s="14"/>
      <c r="F23" s="1">
        <f t="shared" si="0"/>
        <v>0</v>
      </c>
      <c r="G23" s="2">
        <f t="shared" si="1"/>
        <v>0</v>
      </c>
      <c r="H23" s="8">
        <f t="shared" si="2"/>
        <v>0</v>
      </c>
      <c r="I23" s="2">
        <f t="shared" si="3"/>
        <v>0</v>
      </c>
      <c r="M23" s="1">
        <v>9.99</v>
      </c>
    </row>
    <row r="24" spans="1:13" x14ac:dyDescent="0.25">
      <c r="A24" s="3"/>
      <c r="B24" s="7"/>
      <c r="C24" s="7"/>
      <c r="D24" s="13"/>
      <c r="E24" s="14"/>
      <c r="F24" s="1">
        <f t="shared" si="0"/>
        <v>0</v>
      </c>
      <c r="G24" s="2">
        <f t="shared" si="1"/>
        <v>0</v>
      </c>
      <c r="H24" s="8">
        <f t="shared" si="2"/>
        <v>0</v>
      </c>
      <c r="I24" s="2">
        <f t="shared" si="3"/>
        <v>0</v>
      </c>
      <c r="M24" s="1">
        <v>9.99</v>
      </c>
    </row>
    <row r="25" spans="1:13" x14ac:dyDescent="0.25">
      <c r="A25" s="3"/>
      <c r="B25" s="7"/>
      <c r="C25" s="7"/>
      <c r="D25" s="13"/>
      <c r="E25" s="14"/>
      <c r="F25" s="1">
        <f t="shared" si="0"/>
        <v>0</v>
      </c>
      <c r="G25" s="2">
        <f t="shared" si="1"/>
        <v>0</v>
      </c>
      <c r="H25" s="8">
        <f t="shared" si="2"/>
        <v>0</v>
      </c>
      <c r="I25" s="2">
        <f t="shared" si="3"/>
        <v>0</v>
      </c>
      <c r="M25" s="1">
        <v>9.99</v>
      </c>
    </row>
    <row r="26" spans="1:13" x14ac:dyDescent="0.25">
      <c r="A26" s="3"/>
      <c r="B26" s="7"/>
      <c r="C26" s="7"/>
      <c r="D26" s="13"/>
      <c r="E26" s="14"/>
      <c r="F26" s="1">
        <f t="shared" si="0"/>
        <v>0</v>
      </c>
      <c r="G26" s="2">
        <f t="shared" si="1"/>
        <v>0</v>
      </c>
      <c r="H26" s="8">
        <f t="shared" si="2"/>
        <v>0</v>
      </c>
      <c r="I26" s="2">
        <f t="shared" si="3"/>
        <v>0</v>
      </c>
      <c r="M26" s="1">
        <v>9.99</v>
      </c>
    </row>
    <row r="27" spans="1:13" x14ac:dyDescent="0.25">
      <c r="A27" s="3"/>
      <c r="B27" s="7"/>
      <c r="C27" s="7"/>
      <c r="D27" s="13"/>
      <c r="E27" s="14"/>
      <c r="F27" s="1">
        <f t="shared" si="0"/>
        <v>0</v>
      </c>
      <c r="G27" s="2">
        <f t="shared" si="1"/>
        <v>0</v>
      </c>
      <c r="H27" s="8">
        <f t="shared" si="2"/>
        <v>0</v>
      </c>
      <c r="I27" s="2">
        <f t="shared" si="3"/>
        <v>0</v>
      </c>
      <c r="M27" s="1">
        <v>9.99</v>
      </c>
    </row>
    <row r="28" spans="1:13" x14ac:dyDescent="0.25">
      <c r="A28" s="3"/>
      <c r="B28" s="7"/>
      <c r="C28" s="7"/>
      <c r="D28" s="13"/>
      <c r="E28" s="14"/>
      <c r="F28" s="1">
        <f t="shared" si="0"/>
        <v>0</v>
      </c>
      <c r="G28" s="2">
        <f t="shared" si="1"/>
        <v>0</v>
      </c>
      <c r="H28" s="8">
        <f t="shared" si="2"/>
        <v>0</v>
      </c>
      <c r="I28" s="2">
        <f t="shared" si="3"/>
        <v>0</v>
      </c>
      <c r="M28" s="1">
        <v>9.99</v>
      </c>
    </row>
    <row r="29" spans="1:13" x14ac:dyDescent="0.25">
      <c r="A29" s="3"/>
      <c r="B29" s="7"/>
      <c r="C29" s="7"/>
      <c r="D29" s="13"/>
      <c r="E29" s="14"/>
      <c r="F29" s="1">
        <f t="shared" si="0"/>
        <v>0</v>
      </c>
      <c r="G29" s="2">
        <f t="shared" si="1"/>
        <v>0</v>
      </c>
      <c r="H29" s="8">
        <f t="shared" si="2"/>
        <v>0</v>
      </c>
      <c r="I29" s="2">
        <f t="shared" si="3"/>
        <v>0</v>
      </c>
      <c r="M29" s="1">
        <v>9.99</v>
      </c>
    </row>
    <row r="30" spans="1:13" x14ac:dyDescent="0.25">
      <c r="A30" s="3"/>
      <c r="B30" s="7"/>
      <c r="C30" s="7"/>
      <c r="D30" s="13"/>
      <c r="E30" s="14"/>
      <c r="F30" s="1">
        <f t="shared" si="0"/>
        <v>0</v>
      </c>
      <c r="G30" s="2">
        <f t="shared" si="1"/>
        <v>0</v>
      </c>
      <c r="H30" s="8">
        <f t="shared" si="2"/>
        <v>0</v>
      </c>
      <c r="I30" s="2">
        <f t="shared" si="3"/>
        <v>0</v>
      </c>
      <c r="M30" s="1">
        <v>9.99</v>
      </c>
    </row>
    <row r="31" spans="1:13" x14ac:dyDescent="0.25">
      <c r="A31" s="3"/>
      <c r="B31" s="7"/>
      <c r="C31" s="7"/>
      <c r="D31" s="13"/>
      <c r="E31" s="14"/>
      <c r="F31" s="1">
        <f t="shared" si="0"/>
        <v>0</v>
      </c>
      <c r="G31" s="2">
        <f t="shared" si="1"/>
        <v>0</v>
      </c>
      <c r="H31" s="8">
        <f t="shared" si="2"/>
        <v>0</v>
      </c>
      <c r="I31" s="2">
        <f t="shared" si="3"/>
        <v>0</v>
      </c>
      <c r="M31" s="1">
        <v>9.99</v>
      </c>
    </row>
    <row r="32" spans="1:13" x14ac:dyDescent="0.25">
      <c r="A32" s="3"/>
      <c r="B32" s="7"/>
      <c r="C32" s="7"/>
      <c r="D32" s="13"/>
      <c r="E32" s="14"/>
      <c r="F32" s="1">
        <f t="shared" si="0"/>
        <v>0</v>
      </c>
      <c r="G32" s="2">
        <f t="shared" si="1"/>
        <v>0</v>
      </c>
      <c r="H32" s="8">
        <f t="shared" si="2"/>
        <v>0</v>
      </c>
      <c r="I32" s="2">
        <f t="shared" si="3"/>
        <v>0</v>
      </c>
      <c r="M32" s="1">
        <v>9.99</v>
      </c>
    </row>
    <row r="33" spans="1:13" x14ac:dyDescent="0.25">
      <c r="A33" s="3"/>
      <c r="B33" s="7"/>
      <c r="C33" s="7"/>
      <c r="D33" s="13"/>
      <c r="E33" s="14"/>
      <c r="F33" s="1">
        <f t="shared" si="0"/>
        <v>0</v>
      </c>
      <c r="G33" s="2">
        <f t="shared" si="1"/>
        <v>0</v>
      </c>
      <c r="H33" s="8">
        <f t="shared" si="2"/>
        <v>0</v>
      </c>
      <c r="I33" s="2">
        <f t="shared" si="3"/>
        <v>0</v>
      </c>
      <c r="M33" s="1">
        <v>9.99</v>
      </c>
    </row>
    <row r="34" spans="1:13" x14ac:dyDescent="0.25">
      <c r="A34" s="3"/>
      <c r="B34" s="7"/>
      <c r="C34" s="7"/>
      <c r="D34" s="13"/>
      <c r="E34" s="14"/>
      <c r="F34" s="1">
        <f t="shared" si="0"/>
        <v>0</v>
      </c>
      <c r="G34" s="2">
        <f t="shared" si="1"/>
        <v>0</v>
      </c>
      <c r="H34" s="8">
        <f t="shared" si="2"/>
        <v>0</v>
      </c>
      <c r="I34" s="2">
        <f t="shared" si="3"/>
        <v>0</v>
      </c>
      <c r="M34" s="1">
        <v>9.99</v>
      </c>
    </row>
    <row r="35" spans="1:13" x14ac:dyDescent="0.25">
      <c r="A35" s="3"/>
      <c r="B35" s="7"/>
      <c r="C35" s="7"/>
      <c r="D35" s="13"/>
      <c r="E35" s="14"/>
      <c r="F35" s="1">
        <f t="shared" si="0"/>
        <v>0</v>
      </c>
      <c r="G35" s="2">
        <f t="shared" si="1"/>
        <v>0</v>
      </c>
      <c r="H35" s="8">
        <f t="shared" si="2"/>
        <v>0</v>
      </c>
      <c r="I35" s="2">
        <f t="shared" si="3"/>
        <v>0</v>
      </c>
      <c r="M35" s="1">
        <v>9.99</v>
      </c>
    </row>
    <row r="36" spans="1:13" x14ac:dyDescent="0.25">
      <c r="A36" s="3"/>
      <c r="B36" s="7"/>
      <c r="C36" s="7"/>
      <c r="D36" s="13"/>
      <c r="E36" s="14"/>
      <c r="F36" s="1">
        <f t="shared" si="0"/>
        <v>0</v>
      </c>
      <c r="G36" s="2">
        <f t="shared" si="1"/>
        <v>0</v>
      </c>
      <c r="H36" s="8">
        <f t="shared" si="2"/>
        <v>0</v>
      </c>
      <c r="I36" s="2">
        <f t="shared" si="3"/>
        <v>0</v>
      </c>
      <c r="M36" s="1">
        <v>9.99</v>
      </c>
    </row>
    <row r="37" spans="1:13" x14ac:dyDescent="0.25">
      <c r="A37" s="3"/>
      <c r="B37" s="7"/>
      <c r="C37" s="7"/>
      <c r="D37" s="13"/>
      <c r="E37" s="14"/>
      <c r="F37" s="1">
        <f t="shared" si="0"/>
        <v>0</v>
      </c>
      <c r="G37" s="2">
        <f t="shared" si="1"/>
        <v>0</v>
      </c>
      <c r="H37" s="8">
        <f t="shared" si="2"/>
        <v>0</v>
      </c>
      <c r="I37" s="2">
        <f t="shared" si="3"/>
        <v>0</v>
      </c>
      <c r="M37" s="1">
        <v>9.99</v>
      </c>
    </row>
    <row r="38" spans="1:13" x14ac:dyDescent="0.25">
      <c r="A38" s="3"/>
      <c r="B38" s="7"/>
      <c r="C38" s="7"/>
      <c r="D38" s="13"/>
      <c r="E38" s="14"/>
      <c r="F38" s="1">
        <f t="shared" si="0"/>
        <v>0</v>
      </c>
      <c r="G38" s="2">
        <f t="shared" si="1"/>
        <v>0</v>
      </c>
      <c r="H38" s="8">
        <f t="shared" si="2"/>
        <v>0</v>
      </c>
      <c r="I38" s="2">
        <f t="shared" si="3"/>
        <v>0</v>
      </c>
      <c r="M38" s="1">
        <v>9.99</v>
      </c>
    </row>
    <row r="39" spans="1:13" x14ac:dyDescent="0.25">
      <c r="A39" s="3"/>
      <c r="B39" s="7"/>
      <c r="C39" s="7"/>
      <c r="D39" s="13"/>
      <c r="E39" s="14"/>
      <c r="F39" s="1">
        <f t="shared" si="0"/>
        <v>0</v>
      </c>
      <c r="G39" s="2">
        <f t="shared" si="1"/>
        <v>0</v>
      </c>
      <c r="H39" s="8">
        <f t="shared" si="2"/>
        <v>0</v>
      </c>
      <c r="I39" s="2">
        <f t="shared" si="3"/>
        <v>0</v>
      </c>
      <c r="M39" s="1">
        <v>9.99</v>
      </c>
    </row>
    <row r="40" spans="1:13" x14ac:dyDescent="0.25">
      <c r="A40" s="3"/>
      <c r="B40" s="7"/>
      <c r="C40" s="7"/>
      <c r="D40" s="13"/>
      <c r="E40" s="14"/>
      <c r="F40" s="1">
        <f t="shared" si="0"/>
        <v>0</v>
      </c>
      <c r="G40" s="2">
        <f t="shared" si="1"/>
        <v>0</v>
      </c>
      <c r="H40" s="8">
        <f t="shared" si="2"/>
        <v>0</v>
      </c>
      <c r="I40" s="2">
        <f t="shared" si="3"/>
        <v>0</v>
      </c>
      <c r="M40" s="1">
        <v>9.99</v>
      </c>
    </row>
    <row r="41" spans="1:13" x14ac:dyDescent="0.25">
      <c r="A41" s="3"/>
      <c r="B41" s="7"/>
      <c r="C41" s="7"/>
      <c r="D41" s="13"/>
      <c r="E41" s="14"/>
      <c r="F41" s="1">
        <f t="shared" si="0"/>
        <v>0</v>
      </c>
      <c r="G41" s="2">
        <f t="shared" si="1"/>
        <v>0</v>
      </c>
      <c r="H41" s="8">
        <f t="shared" si="2"/>
        <v>0</v>
      </c>
      <c r="I41" s="2">
        <f t="shared" si="3"/>
        <v>0</v>
      </c>
      <c r="M41" s="1">
        <v>9.99</v>
      </c>
    </row>
    <row r="42" spans="1:13" x14ac:dyDescent="0.25">
      <c r="A42" s="3"/>
      <c r="B42" s="7"/>
      <c r="C42" s="7"/>
      <c r="D42" s="13"/>
      <c r="E42" s="14"/>
      <c r="F42" s="1">
        <f t="shared" si="0"/>
        <v>0</v>
      </c>
      <c r="G42" s="2">
        <f t="shared" si="1"/>
        <v>0</v>
      </c>
      <c r="H42" s="8">
        <f t="shared" si="2"/>
        <v>0</v>
      </c>
      <c r="I42" s="2">
        <f t="shared" si="3"/>
        <v>0</v>
      </c>
      <c r="M42" s="1">
        <v>9.99</v>
      </c>
    </row>
    <row r="43" spans="1:13" x14ac:dyDescent="0.25">
      <c r="A43" s="3"/>
      <c r="B43" s="7"/>
      <c r="C43" s="7"/>
      <c r="D43" s="13"/>
      <c r="E43" s="14"/>
      <c r="F43" s="1">
        <f t="shared" si="0"/>
        <v>0</v>
      </c>
      <c r="G43" s="2">
        <f t="shared" si="1"/>
        <v>0</v>
      </c>
      <c r="H43" s="8">
        <f t="shared" si="2"/>
        <v>0</v>
      </c>
      <c r="I43" s="2">
        <f t="shared" si="3"/>
        <v>0</v>
      </c>
      <c r="M43" s="1">
        <v>9.99</v>
      </c>
    </row>
    <row r="44" spans="1:13" x14ac:dyDescent="0.25">
      <c r="A44" s="3"/>
      <c r="B44" s="7"/>
      <c r="C44" s="7"/>
      <c r="D44" s="13"/>
      <c r="E44" s="14"/>
      <c r="F44" s="1">
        <f t="shared" si="0"/>
        <v>0</v>
      </c>
      <c r="G44" s="2">
        <f t="shared" si="1"/>
        <v>0</v>
      </c>
      <c r="H44" s="8">
        <f t="shared" si="2"/>
        <v>0</v>
      </c>
      <c r="I44" s="2">
        <f t="shared" si="3"/>
        <v>0</v>
      </c>
      <c r="M44" s="1">
        <v>9.99</v>
      </c>
    </row>
    <row r="45" spans="1:13" x14ac:dyDescent="0.25">
      <c r="A45" s="3"/>
      <c r="B45" s="7"/>
      <c r="C45" s="7"/>
      <c r="D45" s="13"/>
      <c r="E45" s="14"/>
      <c r="F45" s="1">
        <f t="shared" si="0"/>
        <v>0</v>
      </c>
      <c r="G45" s="2">
        <f t="shared" si="1"/>
        <v>0</v>
      </c>
      <c r="H45" s="8">
        <f t="shared" si="2"/>
        <v>0</v>
      </c>
      <c r="I45" s="2">
        <f t="shared" si="3"/>
        <v>0</v>
      </c>
      <c r="M45" s="1">
        <v>9.99</v>
      </c>
    </row>
    <row r="46" spans="1:13" x14ac:dyDescent="0.25">
      <c r="A46" s="3"/>
      <c r="B46" s="7"/>
      <c r="C46" s="7"/>
      <c r="D46" s="13"/>
      <c r="E46" s="14"/>
      <c r="F46" s="1">
        <f t="shared" si="0"/>
        <v>0</v>
      </c>
      <c r="G46" s="2">
        <f t="shared" si="1"/>
        <v>0</v>
      </c>
      <c r="H46" s="8">
        <f t="shared" si="2"/>
        <v>0</v>
      </c>
      <c r="I46" s="2">
        <f t="shared" si="3"/>
        <v>0</v>
      </c>
      <c r="M46" s="1">
        <v>9.99</v>
      </c>
    </row>
    <row r="47" spans="1:13" x14ac:dyDescent="0.25">
      <c r="A47" s="3"/>
      <c r="B47" s="7"/>
      <c r="C47" s="7"/>
      <c r="D47" s="13"/>
      <c r="E47" s="14"/>
      <c r="F47" s="1">
        <f t="shared" si="0"/>
        <v>0</v>
      </c>
      <c r="G47" s="2">
        <f t="shared" si="1"/>
        <v>0</v>
      </c>
      <c r="H47" s="8">
        <f t="shared" si="2"/>
        <v>0</v>
      </c>
      <c r="I47" s="2">
        <f t="shared" si="3"/>
        <v>0</v>
      </c>
      <c r="M47" s="1">
        <v>9.99</v>
      </c>
    </row>
    <row r="48" spans="1:13" x14ac:dyDescent="0.25">
      <c r="A48" s="3"/>
      <c r="B48" s="7"/>
      <c r="C48" s="7"/>
      <c r="D48" s="13"/>
      <c r="E48" s="14"/>
      <c r="F48" s="1">
        <f t="shared" si="0"/>
        <v>0</v>
      </c>
      <c r="G48" s="2">
        <f t="shared" si="1"/>
        <v>0</v>
      </c>
      <c r="H48" s="8">
        <f t="shared" si="2"/>
        <v>0</v>
      </c>
      <c r="I48" s="2">
        <f t="shared" si="3"/>
        <v>0</v>
      </c>
      <c r="M48" s="1">
        <v>9.99</v>
      </c>
    </row>
    <row r="49" spans="1:13" x14ac:dyDescent="0.25">
      <c r="A49" s="3"/>
      <c r="B49" s="7"/>
      <c r="C49" s="7"/>
      <c r="D49" s="13"/>
      <c r="E49" s="14"/>
      <c r="F49" s="1">
        <f t="shared" si="0"/>
        <v>0</v>
      </c>
      <c r="G49" s="2">
        <f t="shared" si="1"/>
        <v>0</v>
      </c>
      <c r="H49" s="8">
        <f t="shared" si="2"/>
        <v>0</v>
      </c>
      <c r="I49" s="2">
        <f t="shared" si="3"/>
        <v>0</v>
      </c>
      <c r="M49" s="1">
        <v>9.99</v>
      </c>
    </row>
    <row r="50" spans="1:13" x14ac:dyDescent="0.25">
      <c r="A50" s="3"/>
      <c r="B50" s="7"/>
      <c r="C50" s="7"/>
      <c r="D50" s="13"/>
      <c r="E50" s="14"/>
      <c r="F50" s="1">
        <f t="shared" si="0"/>
        <v>0</v>
      </c>
      <c r="G50" s="2">
        <f t="shared" si="1"/>
        <v>0</v>
      </c>
      <c r="H50" s="8">
        <f t="shared" si="2"/>
        <v>0</v>
      </c>
      <c r="I50" s="2">
        <f t="shared" si="3"/>
        <v>0</v>
      </c>
      <c r="M50" s="1">
        <v>9.99</v>
      </c>
    </row>
    <row r="51" spans="1:13" x14ac:dyDescent="0.25">
      <c r="A51" s="3"/>
      <c r="B51" s="7"/>
      <c r="C51" s="7"/>
      <c r="D51" s="13"/>
      <c r="E51" s="14"/>
      <c r="F51" s="1">
        <f t="shared" si="0"/>
        <v>0</v>
      </c>
      <c r="G51" s="2">
        <f t="shared" si="1"/>
        <v>0</v>
      </c>
      <c r="H51" s="8">
        <f t="shared" si="2"/>
        <v>0</v>
      </c>
      <c r="I51" s="2">
        <f t="shared" si="3"/>
        <v>0</v>
      </c>
      <c r="M51" s="1">
        <v>9.99</v>
      </c>
    </row>
    <row r="52" spans="1:13" x14ac:dyDescent="0.25">
      <c r="A52" s="3"/>
      <c r="B52" s="7"/>
      <c r="C52" s="7"/>
      <c r="D52" s="13"/>
      <c r="E52" s="14"/>
      <c r="F52" s="1">
        <f t="shared" si="0"/>
        <v>0</v>
      </c>
      <c r="G52" s="2">
        <f t="shared" si="1"/>
        <v>0</v>
      </c>
      <c r="H52" s="8">
        <f t="shared" si="2"/>
        <v>0</v>
      </c>
      <c r="I52" s="2">
        <f t="shared" si="3"/>
        <v>0</v>
      </c>
      <c r="M52" s="1">
        <v>9.99</v>
      </c>
    </row>
    <row r="53" spans="1:13" x14ac:dyDescent="0.25">
      <c r="A53" s="3"/>
      <c r="B53" s="7"/>
      <c r="C53" s="7"/>
      <c r="D53" s="13"/>
      <c r="E53" s="14"/>
      <c r="F53" s="1">
        <f t="shared" si="0"/>
        <v>0</v>
      </c>
      <c r="G53" s="2">
        <f t="shared" si="1"/>
        <v>0</v>
      </c>
      <c r="H53" s="8">
        <f t="shared" si="2"/>
        <v>0</v>
      </c>
      <c r="I53" s="2">
        <f t="shared" si="3"/>
        <v>0</v>
      </c>
      <c r="M53" s="1">
        <v>9.99</v>
      </c>
    </row>
    <row r="54" spans="1:13" x14ac:dyDescent="0.25">
      <c r="A54" s="3"/>
      <c r="B54" s="7"/>
      <c r="C54" s="7"/>
      <c r="D54" s="13"/>
      <c r="E54" s="14"/>
      <c r="F54" s="1">
        <f t="shared" si="0"/>
        <v>0</v>
      </c>
      <c r="G54" s="2">
        <f t="shared" si="1"/>
        <v>0</v>
      </c>
      <c r="H54" s="8">
        <f t="shared" si="2"/>
        <v>0</v>
      </c>
      <c r="I54" s="2">
        <f t="shared" si="3"/>
        <v>0</v>
      </c>
      <c r="M54" s="1">
        <v>9.99</v>
      </c>
    </row>
    <row r="55" spans="1:13" x14ac:dyDescent="0.25">
      <c r="A55" s="3"/>
      <c r="B55" s="7"/>
      <c r="C55" s="7"/>
      <c r="D55" s="13"/>
      <c r="E55" s="14"/>
      <c r="F55" s="1">
        <f t="shared" si="0"/>
        <v>0</v>
      </c>
      <c r="G55" s="2">
        <f t="shared" si="1"/>
        <v>0</v>
      </c>
      <c r="H55" s="8">
        <f t="shared" si="2"/>
        <v>0</v>
      </c>
      <c r="I55" s="2">
        <f t="shared" si="3"/>
        <v>0</v>
      </c>
      <c r="M55" s="1">
        <v>9.99</v>
      </c>
    </row>
    <row r="56" spans="1:13" x14ac:dyDescent="0.25">
      <c r="A56" s="3"/>
      <c r="B56" s="7"/>
      <c r="C56" s="7"/>
      <c r="D56" s="13"/>
      <c r="E56" s="14"/>
      <c r="F56" s="1">
        <f t="shared" si="0"/>
        <v>0</v>
      </c>
      <c r="G56" s="2">
        <f t="shared" si="1"/>
        <v>0</v>
      </c>
      <c r="H56" s="8">
        <f t="shared" si="2"/>
        <v>0</v>
      </c>
      <c r="I56" s="2">
        <f t="shared" si="3"/>
        <v>0</v>
      </c>
      <c r="M56" s="1">
        <v>9.99</v>
      </c>
    </row>
    <row r="57" spans="1:13" x14ac:dyDescent="0.25">
      <c r="A57" s="3"/>
      <c r="B57" s="7"/>
      <c r="C57" s="7"/>
      <c r="D57" s="13"/>
      <c r="E57" s="14"/>
      <c r="F57" s="1">
        <f t="shared" si="0"/>
        <v>0</v>
      </c>
      <c r="G57" s="2">
        <f t="shared" si="1"/>
        <v>0</v>
      </c>
      <c r="H57" s="8">
        <f t="shared" si="2"/>
        <v>0</v>
      </c>
      <c r="I57" s="2">
        <f t="shared" si="3"/>
        <v>0</v>
      </c>
      <c r="M57" s="1">
        <v>9.99</v>
      </c>
    </row>
    <row r="58" spans="1:13" x14ac:dyDescent="0.25">
      <c r="A58" s="3"/>
      <c r="B58" s="7"/>
      <c r="C58" s="7"/>
      <c r="D58" s="13"/>
      <c r="E58" s="14"/>
      <c r="F58" s="1">
        <f t="shared" si="0"/>
        <v>0</v>
      </c>
      <c r="G58" s="2">
        <f t="shared" si="1"/>
        <v>0</v>
      </c>
      <c r="H58" s="8">
        <f t="shared" si="2"/>
        <v>0</v>
      </c>
      <c r="I58" s="2">
        <f t="shared" si="3"/>
        <v>0</v>
      </c>
      <c r="M58" s="1">
        <v>9.99</v>
      </c>
    </row>
    <row r="59" spans="1:13" x14ac:dyDescent="0.25">
      <c r="A59" s="3"/>
      <c r="B59" s="7"/>
      <c r="C59" s="7"/>
      <c r="D59" s="13"/>
      <c r="E59" s="14"/>
      <c r="F59" s="1">
        <f t="shared" si="0"/>
        <v>0</v>
      </c>
      <c r="G59" s="2">
        <f t="shared" si="1"/>
        <v>0</v>
      </c>
      <c r="H59" s="8">
        <f t="shared" si="2"/>
        <v>0</v>
      </c>
      <c r="I59" s="2">
        <f t="shared" si="3"/>
        <v>0</v>
      </c>
      <c r="M59" s="1">
        <v>9.99</v>
      </c>
    </row>
    <row r="60" spans="1:13" x14ac:dyDescent="0.25">
      <c r="A60" s="3"/>
      <c r="B60" s="7"/>
      <c r="C60" s="7"/>
      <c r="D60" s="13"/>
      <c r="E60" s="14"/>
      <c r="F60" s="1">
        <f t="shared" si="0"/>
        <v>0</v>
      </c>
      <c r="G60" s="2">
        <f t="shared" si="1"/>
        <v>0</v>
      </c>
      <c r="H60" s="8">
        <f t="shared" si="2"/>
        <v>0</v>
      </c>
      <c r="I60" s="2">
        <f t="shared" si="3"/>
        <v>0</v>
      </c>
      <c r="M60" s="1">
        <v>9.99</v>
      </c>
    </row>
    <row r="61" spans="1:13" x14ac:dyDescent="0.25">
      <c r="A61" s="3"/>
      <c r="B61" s="7"/>
      <c r="C61" s="7"/>
      <c r="D61" s="13"/>
      <c r="E61" s="14"/>
      <c r="F61" s="1">
        <f t="shared" si="0"/>
        <v>0</v>
      </c>
      <c r="G61" s="2">
        <f t="shared" si="1"/>
        <v>0</v>
      </c>
      <c r="H61" s="8">
        <f t="shared" si="2"/>
        <v>0</v>
      </c>
      <c r="I61" s="2">
        <f t="shared" si="3"/>
        <v>0</v>
      </c>
      <c r="M61" s="1">
        <v>9.99</v>
      </c>
    </row>
    <row r="62" spans="1:13" x14ac:dyDescent="0.25">
      <c r="A62" s="3"/>
      <c r="B62" s="7"/>
      <c r="C62" s="7"/>
      <c r="D62" s="13"/>
      <c r="E62" s="14"/>
      <c r="F62" s="1">
        <f t="shared" si="0"/>
        <v>0</v>
      </c>
      <c r="G62" s="2">
        <f t="shared" si="1"/>
        <v>0</v>
      </c>
      <c r="H62" s="8">
        <f t="shared" si="2"/>
        <v>0</v>
      </c>
      <c r="I62" s="2">
        <f t="shared" si="3"/>
        <v>0</v>
      </c>
      <c r="M62" s="1">
        <v>9.99</v>
      </c>
    </row>
    <row r="63" spans="1:13" x14ac:dyDescent="0.25">
      <c r="A63" s="3"/>
      <c r="B63" s="7"/>
      <c r="C63" s="7"/>
      <c r="D63" s="13"/>
      <c r="E63" s="14"/>
      <c r="F63" s="1">
        <f t="shared" si="0"/>
        <v>0</v>
      </c>
      <c r="G63" s="2">
        <f t="shared" si="1"/>
        <v>0</v>
      </c>
      <c r="H63" s="8">
        <f t="shared" si="2"/>
        <v>0</v>
      </c>
      <c r="I63" s="2">
        <f t="shared" si="3"/>
        <v>0</v>
      </c>
      <c r="M63" s="1">
        <v>9.99</v>
      </c>
    </row>
    <row r="64" spans="1:13" x14ac:dyDescent="0.25">
      <c r="A64" s="3"/>
      <c r="B64" s="7"/>
      <c r="C64" s="7"/>
      <c r="D64" s="13"/>
      <c r="E64" s="14"/>
      <c r="F64" s="1">
        <f t="shared" si="0"/>
        <v>0</v>
      </c>
      <c r="G64" s="2">
        <f t="shared" si="1"/>
        <v>0</v>
      </c>
      <c r="H64" s="8">
        <f t="shared" si="2"/>
        <v>0</v>
      </c>
      <c r="I64" s="2">
        <f t="shared" si="3"/>
        <v>0</v>
      </c>
      <c r="M64" s="1">
        <v>9.99</v>
      </c>
    </row>
    <row r="65" spans="1:13" x14ac:dyDescent="0.25">
      <c r="A65" s="3"/>
      <c r="B65" s="7"/>
      <c r="C65" s="7"/>
      <c r="D65" s="13"/>
      <c r="E65" s="14"/>
      <c r="F65" s="1">
        <f t="shared" si="0"/>
        <v>0</v>
      </c>
      <c r="G65" s="2">
        <f t="shared" si="1"/>
        <v>0</v>
      </c>
      <c r="H65" s="8">
        <f t="shared" si="2"/>
        <v>0</v>
      </c>
      <c r="I65" s="2">
        <f t="shared" si="3"/>
        <v>0</v>
      </c>
      <c r="M65" s="1">
        <v>9.99</v>
      </c>
    </row>
    <row r="66" spans="1:13" x14ac:dyDescent="0.25">
      <c r="E66" s="1"/>
      <c r="F66" s="1"/>
    </row>
    <row r="67" spans="1:13" x14ac:dyDescent="0.25">
      <c r="E67" s="1"/>
      <c r="F67" s="1"/>
    </row>
    <row r="68" spans="1:13" x14ac:dyDescent="0.25">
      <c r="E68" s="1"/>
      <c r="F68" s="1"/>
    </row>
    <row r="69" spans="1:13" x14ac:dyDescent="0.25">
      <c r="E69" s="1"/>
      <c r="F69" s="1"/>
    </row>
    <row r="70" spans="1:13" x14ac:dyDescent="0.25">
      <c r="E70" s="1"/>
      <c r="F70" s="1"/>
    </row>
    <row r="71" spans="1:13" x14ac:dyDescent="0.25">
      <c r="E71" s="1"/>
      <c r="F71" s="1"/>
    </row>
    <row r="72" spans="1:13" x14ac:dyDescent="0.25">
      <c r="E72" s="1"/>
      <c r="F72" s="1"/>
    </row>
    <row r="73" spans="1:13" x14ac:dyDescent="0.25">
      <c r="E73" s="1"/>
      <c r="F73" s="1"/>
    </row>
    <row r="74" spans="1:13" x14ac:dyDescent="0.25">
      <c r="E74" s="1"/>
      <c r="F74" s="1"/>
    </row>
    <row r="75" spans="1:13" x14ac:dyDescent="0.25">
      <c r="E75" s="1"/>
      <c r="F75" s="1"/>
    </row>
    <row r="76" spans="1:13" x14ac:dyDescent="0.25">
      <c r="E76" s="1"/>
      <c r="F76" s="1"/>
    </row>
    <row r="77" spans="1:13" x14ac:dyDescent="0.25">
      <c r="E77" s="1"/>
      <c r="F77" s="1"/>
    </row>
    <row r="78" spans="1:13" x14ac:dyDescent="0.25">
      <c r="E78" s="1"/>
      <c r="F78" s="1"/>
    </row>
    <row r="79" spans="1:13" x14ac:dyDescent="0.25">
      <c r="E79" s="1"/>
      <c r="F79" s="1"/>
    </row>
    <row r="80" spans="1:13" x14ac:dyDescent="0.25">
      <c r="E80" s="1"/>
      <c r="F80" s="1"/>
    </row>
    <row r="81" spans="5:6" x14ac:dyDescent="0.25">
      <c r="E81" s="1"/>
      <c r="F81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8"/>
  <sheetViews>
    <sheetView workbookViewId="0">
      <selection activeCell="H4" sqref="H4"/>
    </sheetView>
  </sheetViews>
  <sheetFormatPr defaultRowHeight="15" x14ac:dyDescent="0.25"/>
  <cols>
    <col min="1" max="1" width="8" style="1" bestFit="1" customWidth="1"/>
    <col min="2" max="2" width="11.5703125" style="18" bestFit="1" customWidth="1"/>
    <col min="3" max="3" width="10" bestFit="1" customWidth="1"/>
    <col min="4" max="4" width="14.42578125" bestFit="1" customWidth="1"/>
    <col min="5" max="5" width="7.7109375" bestFit="1" customWidth="1"/>
    <col min="6" max="6" width="13.28515625" bestFit="1" customWidth="1"/>
    <col min="7" max="7" width="11.5703125" bestFit="1" customWidth="1"/>
    <col min="8" max="8" width="12.5703125" style="1" bestFit="1" customWidth="1"/>
    <col min="9" max="11" width="11.5703125" bestFit="1" customWidth="1"/>
    <col min="12" max="12" width="11.5703125" customWidth="1"/>
    <col min="13" max="15" width="19.140625" bestFit="1" customWidth="1"/>
  </cols>
  <sheetData>
    <row r="1" spans="1:15" x14ac:dyDescent="0.25">
      <c r="A1" s="17" t="s">
        <v>12</v>
      </c>
      <c r="B1" s="19" t="s">
        <v>17</v>
      </c>
      <c r="C1" s="9" t="s">
        <v>14</v>
      </c>
      <c r="D1" s="9" t="s">
        <v>15</v>
      </c>
      <c r="E1" s="9" t="s">
        <v>13</v>
      </c>
      <c r="F1" s="9" t="s">
        <v>16</v>
      </c>
      <c r="G1" s="9" t="s">
        <v>18</v>
      </c>
      <c r="H1" s="17" t="s">
        <v>22</v>
      </c>
      <c r="I1" s="9" t="s">
        <v>20</v>
      </c>
      <c r="J1" s="9" t="s">
        <v>21</v>
      </c>
      <c r="K1" s="9" t="s">
        <v>26</v>
      </c>
      <c r="L1" s="9" t="s">
        <v>27</v>
      </c>
      <c r="M1" s="9" t="s">
        <v>23</v>
      </c>
      <c r="N1" s="9" t="s">
        <v>24</v>
      </c>
      <c r="O1" s="9" t="s">
        <v>25</v>
      </c>
    </row>
    <row r="2" spans="1:15" x14ac:dyDescent="0.25">
      <c r="A2" s="1">
        <v>75</v>
      </c>
      <c r="B2" s="18">
        <v>8</v>
      </c>
      <c r="C2">
        <v>365</v>
      </c>
      <c r="D2">
        <v>104</v>
      </c>
      <c r="E2">
        <v>9</v>
      </c>
      <c r="F2">
        <f>C2-(D2+E2)</f>
        <v>252</v>
      </c>
      <c r="G2" s="2">
        <f>H2/12</f>
        <v>12600</v>
      </c>
      <c r="H2" s="1">
        <f>(F2*B2)*A2</f>
        <v>151200</v>
      </c>
      <c r="I2" s="2">
        <f>H2/2</f>
        <v>75600</v>
      </c>
      <c r="J2" s="2">
        <f>H2/4</f>
        <v>37800</v>
      </c>
      <c r="K2" s="2">
        <f>H2/3</f>
        <v>50400</v>
      </c>
      <c r="L2" s="2"/>
      <c r="M2">
        <f>(10*2)*F2</f>
        <v>5040</v>
      </c>
      <c r="N2">
        <f>M2/2</f>
        <v>2520</v>
      </c>
      <c r="O2">
        <f>M2/4</f>
        <v>1260</v>
      </c>
    </row>
    <row r="3" spans="1:15" x14ac:dyDescent="0.25">
      <c r="A3" s="1">
        <v>75</v>
      </c>
      <c r="B3" s="18">
        <v>7.25</v>
      </c>
      <c r="C3">
        <v>365</v>
      </c>
      <c r="D3">
        <v>104</v>
      </c>
      <c r="E3">
        <v>9</v>
      </c>
      <c r="F3">
        <f>C3-(D3+E3)</f>
        <v>252</v>
      </c>
      <c r="G3" s="2">
        <f>H3/12</f>
        <v>11418.75</v>
      </c>
      <c r="H3" s="1">
        <f>(F3*B3)*A3</f>
        <v>137025</v>
      </c>
      <c r="I3" s="2">
        <f>H3/2</f>
        <v>68512.5</v>
      </c>
      <c r="J3" s="2">
        <f>H3/4</f>
        <v>34256.25</v>
      </c>
      <c r="K3" s="2">
        <f>H3/3</f>
        <v>45675</v>
      </c>
      <c r="L3" s="2"/>
      <c r="M3">
        <f>(10*2)*F3</f>
        <v>5040</v>
      </c>
      <c r="N3">
        <f>M3/2</f>
        <v>2520</v>
      </c>
      <c r="O3">
        <f>M3/4</f>
        <v>1260</v>
      </c>
    </row>
    <row r="4" spans="1:15" x14ac:dyDescent="0.25">
      <c r="A4" s="1">
        <v>80</v>
      </c>
      <c r="B4" s="18">
        <v>7.25</v>
      </c>
      <c r="C4">
        <v>365</v>
      </c>
      <c r="D4">
        <v>104</v>
      </c>
      <c r="E4">
        <v>9</v>
      </c>
      <c r="F4">
        <f>C4-(D4+E4)</f>
        <v>252</v>
      </c>
      <c r="G4" s="2">
        <f>H4/12</f>
        <v>12180</v>
      </c>
      <c r="H4" s="1">
        <f>(F4*B4)*A4</f>
        <v>146160</v>
      </c>
      <c r="I4" s="2">
        <f>H4/2</f>
        <v>73080</v>
      </c>
      <c r="J4" s="2">
        <f>H4/4</f>
        <v>36540</v>
      </c>
      <c r="K4" s="2">
        <f>H4/3</f>
        <v>48720</v>
      </c>
      <c r="L4" s="2"/>
      <c r="M4">
        <f>(10*2)*F4</f>
        <v>5040</v>
      </c>
      <c r="N4">
        <f>M4/2</f>
        <v>2520</v>
      </c>
      <c r="O4">
        <f>M4/4</f>
        <v>1260</v>
      </c>
    </row>
    <row r="8" spans="1:15" x14ac:dyDescent="0.25">
      <c r="M8" s="2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0"/>
  <sheetViews>
    <sheetView workbookViewId="0">
      <selection activeCell="H15" sqref="H15"/>
    </sheetView>
  </sheetViews>
  <sheetFormatPr defaultRowHeight="15" x14ac:dyDescent="0.25"/>
  <cols>
    <col min="2" max="2" width="9.28515625" style="1" bestFit="1" customWidth="1"/>
    <col min="3" max="3" width="11.5703125" style="1" bestFit="1" customWidth="1"/>
    <col min="4" max="4" width="2" style="67" customWidth="1"/>
    <col min="5" max="5" width="10.5703125" bestFit="1" customWidth="1"/>
  </cols>
  <sheetData>
    <row r="1" spans="1:7" s="71" customFormat="1" x14ac:dyDescent="0.25">
      <c r="A1" s="69" t="s">
        <v>47</v>
      </c>
      <c r="B1" s="70" t="s">
        <v>48</v>
      </c>
      <c r="C1" s="70" t="s">
        <v>49</v>
      </c>
      <c r="D1" s="69"/>
      <c r="E1" s="69" t="s">
        <v>50</v>
      </c>
      <c r="F1" s="69" t="s">
        <v>47</v>
      </c>
      <c r="G1" s="69" t="s">
        <v>51</v>
      </c>
    </row>
    <row r="2" spans="1:7" x14ac:dyDescent="0.25">
      <c r="A2">
        <v>500</v>
      </c>
      <c r="B2" s="1">
        <v>7.18</v>
      </c>
      <c r="C2" s="1">
        <f>A2*B2</f>
        <v>3590</v>
      </c>
      <c r="E2" s="2">
        <f>SUM(C2:C20)</f>
        <v>7145</v>
      </c>
      <c r="F2">
        <f>SUM(A2:A20)</f>
        <v>1000</v>
      </c>
      <c r="G2" s="68">
        <f>E2/F2</f>
        <v>7.1449999999999996</v>
      </c>
    </row>
    <row r="3" spans="1:7" x14ac:dyDescent="0.25">
      <c r="A3">
        <v>500</v>
      </c>
      <c r="B3" s="1">
        <v>7.11</v>
      </c>
      <c r="C3" s="1">
        <f t="shared" ref="C3:C20" si="0">A3*B3</f>
        <v>3555</v>
      </c>
    </row>
    <row r="4" spans="1:7" x14ac:dyDescent="0.25">
      <c r="C4" s="1">
        <f t="shared" si="0"/>
        <v>0</v>
      </c>
    </row>
    <row r="5" spans="1:7" x14ac:dyDescent="0.25">
      <c r="C5" s="1">
        <f t="shared" si="0"/>
        <v>0</v>
      </c>
    </row>
    <row r="6" spans="1:7" x14ac:dyDescent="0.25">
      <c r="C6" s="1">
        <f t="shared" si="0"/>
        <v>0</v>
      </c>
    </row>
    <row r="7" spans="1:7" x14ac:dyDescent="0.25">
      <c r="C7" s="1">
        <f t="shared" si="0"/>
        <v>0</v>
      </c>
    </row>
    <row r="8" spans="1:7" x14ac:dyDescent="0.25">
      <c r="C8" s="1">
        <f t="shared" si="0"/>
        <v>0</v>
      </c>
    </row>
    <row r="9" spans="1:7" x14ac:dyDescent="0.25">
      <c r="C9" s="1">
        <f t="shared" si="0"/>
        <v>0</v>
      </c>
    </row>
    <row r="10" spans="1:7" x14ac:dyDescent="0.25">
      <c r="C10" s="1">
        <f t="shared" si="0"/>
        <v>0</v>
      </c>
    </row>
    <row r="11" spans="1:7" x14ac:dyDescent="0.25">
      <c r="C11" s="1">
        <f t="shared" si="0"/>
        <v>0</v>
      </c>
    </row>
    <row r="12" spans="1:7" x14ac:dyDescent="0.25">
      <c r="C12" s="1">
        <f t="shared" si="0"/>
        <v>0</v>
      </c>
    </row>
    <row r="13" spans="1:7" x14ac:dyDescent="0.25">
      <c r="C13" s="1">
        <f t="shared" si="0"/>
        <v>0</v>
      </c>
    </row>
    <row r="14" spans="1:7" x14ac:dyDescent="0.25">
      <c r="C14" s="1">
        <f t="shared" si="0"/>
        <v>0</v>
      </c>
    </row>
    <row r="15" spans="1:7" x14ac:dyDescent="0.25">
      <c r="C15" s="1">
        <f t="shared" si="0"/>
        <v>0</v>
      </c>
    </row>
    <row r="16" spans="1:7" x14ac:dyDescent="0.25">
      <c r="C16" s="1">
        <f t="shared" si="0"/>
        <v>0</v>
      </c>
    </row>
    <row r="17" spans="3:3" x14ac:dyDescent="0.25">
      <c r="C17" s="1">
        <f t="shared" si="0"/>
        <v>0</v>
      </c>
    </row>
    <row r="18" spans="3:3" x14ac:dyDescent="0.25">
      <c r="C18" s="1">
        <f t="shared" si="0"/>
        <v>0</v>
      </c>
    </row>
    <row r="19" spans="3:3" x14ac:dyDescent="0.25">
      <c r="C19" s="1">
        <f t="shared" si="0"/>
        <v>0</v>
      </c>
    </row>
    <row r="20" spans="3:3" x14ac:dyDescent="0.25">
      <c r="C20" s="1">
        <f t="shared" si="0"/>
        <v>0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5"/>
  <sheetViews>
    <sheetView workbookViewId="0">
      <selection activeCell="D18" sqref="D18"/>
    </sheetView>
  </sheetViews>
  <sheetFormatPr defaultRowHeight="15" x14ac:dyDescent="0.25"/>
  <cols>
    <col min="1" max="1" width="11.28515625" bestFit="1" customWidth="1"/>
  </cols>
  <sheetData>
    <row r="1" spans="1:1" x14ac:dyDescent="0.25">
      <c r="A1" s="9" t="s">
        <v>52</v>
      </c>
    </row>
    <row r="2" spans="1:1" x14ac:dyDescent="0.25">
      <c r="A2" t="s">
        <v>33</v>
      </c>
    </row>
    <row r="3" spans="1:1" x14ac:dyDescent="0.25">
      <c r="A3" t="s">
        <v>34</v>
      </c>
    </row>
    <row r="4" spans="1:1" x14ac:dyDescent="0.25">
      <c r="A4" t="s">
        <v>55</v>
      </c>
    </row>
    <row r="5" spans="1:1" x14ac:dyDescent="0.25">
      <c r="A5" t="s">
        <v>56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Extrem Trading</vt:lpstr>
      <vt:lpstr>iTrade</vt:lpstr>
      <vt:lpstr>Job Rate</vt:lpstr>
      <vt:lpstr>Average</vt:lpstr>
      <vt:lpstr>DB</vt:lpstr>
      <vt:lpstr>Transfar</vt:lpstr>
      <vt:lpstr>AccountType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2015-02-02T15:16:38Z</dcterms:modified>
</cp:coreProperties>
</file>