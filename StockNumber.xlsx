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0" windowWidth="19215" windowHeight="1170" tabRatio="574"/>
  </bookViews>
  <sheets>
    <sheet name="Extrem Trading" sheetId="5" r:id="rId1"/>
    <sheet name="Job Rate" sheetId="3" r:id="rId2"/>
    <sheet name="Loss" sheetId="11" r:id="rId3"/>
    <sheet name="DB" sheetId="8" r:id="rId4"/>
    <sheet name="Transfar" sheetId="10" r:id="rId5"/>
  </sheets>
  <definedNames>
    <definedName name="_xlnm._FilterDatabase" localSheetId="0" hidden="1">'Extrem Trading'!$A$1:$N$271</definedName>
    <definedName name="AccountType">DB!$A$2:$A$7</definedName>
  </definedNames>
  <calcPr calcId="152511"/>
</workbook>
</file>

<file path=xl/calcChain.xml><?xml version="1.0" encoding="utf-8"?>
<calcChain xmlns="http://schemas.openxmlformats.org/spreadsheetml/2006/main">
  <c r="K202" i="5" l="1"/>
  <c r="L202" i="5"/>
  <c r="M202" i="5" s="1"/>
  <c r="N202" i="5"/>
  <c r="K203" i="5"/>
  <c r="L203" i="5"/>
  <c r="M203" i="5"/>
  <c r="N203" i="5"/>
  <c r="K204" i="5"/>
  <c r="L204" i="5"/>
  <c r="M204" i="5"/>
  <c r="N204" i="5"/>
  <c r="K205" i="5"/>
  <c r="L205" i="5"/>
  <c r="M205" i="5"/>
  <c r="N205" i="5"/>
  <c r="K206" i="5"/>
  <c r="L206" i="5"/>
  <c r="M206" i="5"/>
  <c r="N206" i="5"/>
  <c r="K207" i="5"/>
  <c r="L207" i="5"/>
  <c r="M207" i="5"/>
  <c r="N207" i="5"/>
  <c r="K208" i="5"/>
  <c r="L208" i="5"/>
  <c r="M208" i="5"/>
  <c r="N208" i="5"/>
  <c r="K209" i="5"/>
  <c r="L209" i="5"/>
  <c r="M209" i="5"/>
  <c r="N209" i="5"/>
  <c r="K210" i="5"/>
  <c r="L210" i="5"/>
  <c r="M210" i="5"/>
  <c r="N210" i="5"/>
  <c r="K211" i="5"/>
  <c r="L211" i="5"/>
  <c r="M211" i="5"/>
  <c r="N211" i="5"/>
  <c r="K212" i="5"/>
  <c r="L212" i="5"/>
  <c r="M212" i="5"/>
  <c r="N212" i="5"/>
  <c r="K213" i="5"/>
  <c r="L213" i="5"/>
  <c r="M213" i="5"/>
  <c r="N213" i="5"/>
  <c r="K214" i="5"/>
  <c r="L214" i="5"/>
  <c r="M214" i="5"/>
  <c r="N214" i="5"/>
  <c r="K215" i="5"/>
  <c r="L215" i="5"/>
  <c r="M215" i="5"/>
  <c r="N215" i="5"/>
  <c r="K216" i="5"/>
  <c r="L216" i="5"/>
  <c r="M216" i="5"/>
  <c r="N216" i="5"/>
  <c r="K217" i="5"/>
  <c r="L217" i="5"/>
  <c r="M217" i="5"/>
  <c r="N217" i="5"/>
  <c r="K218" i="5"/>
  <c r="L218" i="5"/>
  <c r="M218" i="5"/>
  <c r="N218" i="5"/>
  <c r="K219" i="5"/>
  <c r="L219" i="5"/>
  <c r="M219" i="5"/>
  <c r="N219" i="5"/>
  <c r="K220" i="5"/>
  <c r="L220" i="5"/>
  <c r="M220" i="5"/>
  <c r="N220" i="5"/>
  <c r="K221" i="5"/>
  <c r="L221" i="5"/>
  <c r="M221" i="5"/>
  <c r="N221" i="5"/>
  <c r="K222" i="5"/>
  <c r="L222" i="5"/>
  <c r="M222" i="5"/>
  <c r="N222" i="5"/>
  <c r="K223" i="5"/>
  <c r="L223" i="5"/>
  <c r="M223" i="5"/>
  <c r="N223" i="5"/>
  <c r="K224" i="5"/>
  <c r="L224" i="5"/>
  <c r="M224" i="5"/>
  <c r="N224" i="5"/>
  <c r="K225" i="5"/>
  <c r="L225" i="5"/>
  <c r="M225" i="5"/>
  <c r="N225" i="5"/>
  <c r="K226" i="5"/>
  <c r="L226" i="5"/>
  <c r="M226" i="5"/>
  <c r="N226" i="5"/>
  <c r="K227" i="5"/>
  <c r="L227" i="5"/>
  <c r="M227" i="5"/>
  <c r="N227" i="5"/>
  <c r="K228" i="5"/>
  <c r="L228" i="5"/>
  <c r="M228" i="5"/>
  <c r="N228" i="5"/>
  <c r="K229" i="5"/>
  <c r="L229" i="5"/>
  <c r="M229" i="5"/>
  <c r="N229" i="5"/>
  <c r="K230" i="5"/>
  <c r="L230" i="5"/>
  <c r="M230" i="5"/>
  <c r="N230" i="5"/>
  <c r="K231" i="5"/>
  <c r="L231" i="5"/>
  <c r="M231" i="5"/>
  <c r="N231" i="5"/>
  <c r="K232" i="5"/>
  <c r="L232" i="5"/>
  <c r="M232" i="5"/>
  <c r="N232" i="5"/>
  <c r="K233" i="5"/>
  <c r="L233" i="5"/>
  <c r="M233" i="5"/>
  <c r="N233" i="5"/>
  <c r="K234" i="5"/>
  <c r="L234" i="5"/>
  <c r="M234" i="5"/>
  <c r="N234" i="5"/>
  <c r="K235" i="5"/>
  <c r="L235" i="5"/>
  <c r="M235" i="5"/>
  <c r="N235" i="5"/>
  <c r="K236" i="5"/>
  <c r="L236" i="5"/>
  <c r="M236" i="5"/>
  <c r="N236" i="5"/>
  <c r="K237" i="5"/>
  <c r="L237" i="5"/>
  <c r="M237" i="5"/>
  <c r="N237" i="5"/>
  <c r="K238" i="5"/>
  <c r="L238" i="5"/>
  <c r="M238" i="5"/>
  <c r="N238" i="5"/>
  <c r="K239" i="5"/>
  <c r="L239" i="5"/>
  <c r="M239" i="5"/>
  <c r="N239" i="5"/>
  <c r="K240" i="5"/>
  <c r="L240" i="5"/>
  <c r="M240" i="5"/>
  <c r="N240" i="5"/>
  <c r="K241" i="5"/>
  <c r="L241" i="5"/>
  <c r="M241" i="5"/>
  <c r="N241" i="5"/>
  <c r="K242" i="5"/>
  <c r="L242" i="5"/>
  <c r="M242" i="5"/>
  <c r="N242" i="5"/>
  <c r="K243" i="5"/>
  <c r="L243" i="5"/>
  <c r="M243" i="5"/>
  <c r="N243" i="5"/>
  <c r="K244" i="5"/>
  <c r="L244" i="5"/>
  <c r="M244" i="5"/>
  <c r="N244" i="5"/>
  <c r="K245" i="5"/>
  <c r="L245" i="5"/>
  <c r="M245" i="5"/>
  <c r="N245" i="5"/>
  <c r="K246" i="5"/>
  <c r="L246" i="5"/>
  <c r="M246" i="5"/>
  <c r="N246" i="5"/>
  <c r="K247" i="5"/>
  <c r="L247" i="5"/>
  <c r="M247" i="5"/>
  <c r="N247" i="5"/>
  <c r="K248" i="5"/>
  <c r="L248" i="5"/>
  <c r="M248" i="5"/>
  <c r="N248" i="5"/>
  <c r="K249" i="5"/>
  <c r="L249" i="5"/>
  <c r="M249" i="5"/>
  <c r="N249" i="5"/>
  <c r="K250" i="5"/>
  <c r="L250" i="5"/>
  <c r="M250" i="5"/>
  <c r="N250" i="5"/>
  <c r="K251" i="5"/>
  <c r="L251" i="5"/>
  <c r="M251" i="5"/>
  <c r="N251" i="5"/>
  <c r="K252" i="5"/>
  <c r="L252" i="5"/>
  <c r="M252" i="5"/>
  <c r="N252" i="5"/>
  <c r="K253" i="5"/>
  <c r="L253" i="5"/>
  <c r="M253" i="5"/>
  <c r="N253" i="5"/>
  <c r="K254" i="5"/>
  <c r="L254" i="5"/>
  <c r="M254" i="5"/>
  <c r="N254" i="5"/>
  <c r="K255" i="5"/>
  <c r="L255" i="5"/>
  <c r="M255" i="5"/>
  <c r="N255" i="5"/>
  <c r="K256" i="5"/>
  <c r="L256" i="5"/>
  <c r="M256" i="5"/>
  <c r="N256" i="5"/>
  <c r="K257" i="5"/>
  <c r="L257" i="5"/>
  <c r="M257" i="5"/>
  <c r="N257" i="5"/>
  <c r="K258" i="5"/>
  <c r="L258" i="5"/>
  <c r="M258" i="5"/>
  <c r="N258" i="5"/>
  <c r="K259" i="5"/>
  <c r="L259" i="5"/>
  <c r="M259" i="5"/>
  <c r="N259" i="5"/>
  <c r="K260" i="5"/>
  <c r="L260" i="5"/>
  <c r="M260" i="5"/>
  <c r="N260" i="5"/>
  <c r="K261" i="5"/>
  <c r="L261" i="5"/>
  <c r="M261" i="5"/>
  <c r="N261" i="5"/>
  <c r="K262" i="5"/>
  <c r="L262" i="5"/>
  <c r="M262" i="5"/>
  <c r="N262" i="5"/>
  <c r="K263" i="5"/>
  <c r="L263" i="5"/>
  <c r="M263" i="5"/>
  <c r="N263" i="5"/>
  <c r="K264" i="5"/>
  <c r="L264" i="5"/>
  <c r="M264" i="5"/>
  <c r="N264" i="5"/>
  <c r="K265" i="5"/>
  <c r="L265" i="5"/>
  <c r="M265" i="5"/>
  <c r="N265" i="5"/>
  <c r="K266" i="5"/>
  <c r="L266" i="5"/>
  <c r="M266" i="5"/>
  <c r="N266" i="5"/>
  <c r="K267" i="5"/>
  <c r="L267" i="5"/>
  <c r="M267" i="5"/>
  <c r="N267" i="5"/>
  <c r="K268" i="5"/>
  <c r="L268" i="5"/>
  <c r="M268" i="5"/>
  <c r="N268" i="5"/>
  <c r="K269" i="5"/>
  <c r="L269" i="5"/>
  <c r="M269" i="5"/>
  <c r="N269" i="5"/>
  <c r="K270" i="5"/>
  <c r="L270" i="5"/>
  <c r="M270" i="5"/>
  <c r="N270" i="5"/>
  <c r="K271" i="5"/>
  <c r="L271" i="5"/>
  <c r="M271" i="5"/>
  <c r="N271" i="5"/>
  <c r="K272" i="5"/>
  <c r="L272" i="5"/>
  <c r="M272" i="5"/>
  <c r="N272" i="5"/>
  <c r="K273" i="5"/>
  <c r="L273" i="5"/>
  <c r="M273" i="5"/>
  <c r="N273" i="5"/>
  <c r="K274" i="5"/>
  <c r="L274" i="5"/>
  <c r="M274" i="5"/>
  <c r="N274" i="5"/>
  <c r="K275" i="5"/>
  <c r="L275" i="5"/>
  <c r="M275" i="5"/>
  <c r="N275" i="5"/>
  <c r="K276" i="5"/>
  <c r="L276" i="5"/>
  <c r="M276" i="5"/>
  <c r="N276" i="5"/>
  <c r="K277" i="5"/>
  <c r="L277" i="5"/>
  <c r="M277" i="5"/>
  <c r="N277" i="5"/>
  <c r="K278" i="5"/>
  <c r="L278" i="5"/>
  <c r="M278" i="5"/>
  <c r="N278" i="5"/>
  <c r="K279" i="5"/>
  <c r="L279" i="5"/>
  <c r="M279" i="5"/>
  <c r="N279" i="5"/>
  <c r="K280" i="5"/>
  <c r="L280" i="5"/>
  <c r="M280" i="5"/>
  <c r="N280" i="5"/>
  <c r="K281" i="5"/>
  <c r="L281" i="5"/>
  <c r="M281" i="5"/>
  <c r="N281" i="5"/>
  <c r="K282" i="5"/>
  <c r="L282" i="5"/>
  <c r="M282" i="5"/>
  <c r="N282" i="5"/>
  <c r="K283" i="5"/>
  <c r="L283" i="5"/>
  <c r="M283" i="5"/>
  <c r="N283" i="5"/>
  <c r="K284" i="5"/>
  <c r="L284" i="5"/>
  <c r="M284" i="5"/>
  <c r="N284" i="5"/>
  <c r="K285" i="5"/>
  <c r="L285" i="5"/>
  <c r="M285" i="5"/>
  <c r="N285" i="5"/>
  <c r="K286" i="5"/>
  <c r="L286" i="5"/>
  <c r="M286" i="5"/>
  <c r="N286" i="5"/>
  <c r="K287" i="5"/>
  <c r="L287" i="5"/>
  <c r="M287" i="5"/>
  <c r="N287" i="5"/>
  <c r="K288" i="5"/>
  <c r="L288" i="5"/>
  <c r="M288" i="5"/>
  <c r="N288" i="5"/>
  <c r="K289" i="5"/>
  <c r="L289" i="5"/>
  <c r="M289" i="5"/>
  <c r="N289" i="5"/>
  <c r="K290" i="5"/>
  <c r="L290" i="5"/>
  <c r="M290" i="5"/>
  <c r="N290" i="5"/>
  <c r="K291" i="5"/>
  <c r="L291" i="5"/>
  <c r="M291" i="5"/>
  <c r="N291" i="5"/>
  <c r="K292" i="5"/>
  <c r="L292" i="5"/>
  <c r="M292" i="5"/>
  <c r="N292" i="5"/>
  <c r="K293" i="5"/>
  <c r="L293" i="5"/>
  <c r="M293" i="5"/>
  <c r="N293" i="5"/>
  <c r="K294" i="5"/>
  <c r="L294" i="5"/>
  <c r="M294" i="5"/>
  <c r="N294" i="5"/>
  <c r="K295" i="5"/>
  <c r="L295" i="5"/>
  <c r="M295" i="5"/>
  <c r="N295" i="5"/>
  <c r="K296" i="5"/>
  <c r="L296" i="5"/>
  <c r="M296" i="5"/>
  <c r="N296" i="5"/>
  <c r="K297" i="5"/>
  <c r="L297" i="5"/>
  <c r="M297" i="5"/>
  <c r="N297" i="5"/>
  <c r="K298" i="5"/>
  <c r="L298" i="5"/>
  <c r="M298" i="5"/>
  <c r="N298" i="5"/>
  <c r="K299" i="5"/>
  <c r="L299" i="5"/>
  <c r="M299" i="5"/>
  <c r="N299" i="5"/>
  <c r="K300" i="5"/>
  <c r="L300" i="5"/>
  <c r="M300" i="5"/>
  <c r="N300" i="5"/>
  <c r="K301" i="5"/>
  <c r="L301" i="5"/>
  <c r="M301" i="5"/>
  <c r="N301" i="5"/>
  <c r="K302" i="5"/>
  <c r="L302" i="5"/>
  <c r="M302" i="5"/>
  <c r="N302" i="5"/>
  <c r="K303" i="5"/>
  <c r="L303" i="5"/>
  <c r="M303" i="5"/>
  <c r="N303" i="5"/>
  <c r="K304" i="5"/>
  <c r="L304" i="5"/>
  <c r="M304" i="5"/>
  <c r="N304" i="5"/>
  <c r="K305" i="5"/>
  <c r="L305" i="5"/>
  <c r="M305" i="5"/>
  <c r="N305" i="5"/>
  <c r="K306" i="5"/>
  <c r="L306" i="5"/>
  <c r="M306" i="5"/>
  <c r="N306" i="5"/>
  <c r="K307" i="5"/>
  <c r="L307" i="5"/>
  <c r="M307" i="5"/>
  <c r="N307" i="5"/>
  <c r="K308" i="5"/>
  <c r="L308" i="5"/>
  <c r="M308" i="5"/>
  <c r="N308" i="5"/>
  <c r="K309" i="5"/>
  <c r="L309" i="5"/>
  <c r="M309" i="5"/>
  <c r="N309" i="5"/>
  <c r="K310" i="5"/>
  <c r="L310" i="5"/>
  <c r="M310" i="5"/>
  <c r="N310" i="5"/>
  <c r="K311" i="5"/>
  <c r="L311" i="5"/>
  <c r="M311" i="5"/>
  <c r="N311" i="5"/>
  <c r="K312" i="5"/>
  <c r="L312" i="5"/>
  <c r="M312" i="5"/>
  <c r="N312" i="5"/>
  <c r="K313" i="5"/>
  <c r="L313" i="5"/>
  <c r="M313" i="5"/>
  <c r="N313" i="5"/>
  <c r="K314" i="5"/>
  <c r="L314" i="5"/>
  <c r="M314" i="5"/>
  <c r="N314" i="5"/>
  <c r="K315" i="5"/>
  <c r="L315" i="5"/>
  <c r="M315" i="5"/>
  <c r="N315" i="5"/>
  <c r="K316" i="5"/>
  <c r="L316" i="5"/>
  <c r="M316" i="5"/>
  <c r="N316" i="5"/>
  <c r="K317" i="5"/>
  <c r="L317" i="5"/>
  <c r="M317" i="5"/>
  <c r="N317" i="5"/>
  <c r="K318" i="5"/>
  <c r="L318" i="5"/>
  <c r="M318" i="5"/>
  <c r="N318" i="5"/>
  <c r="K319" i="5"/>
  <c r="L319" i="5"/>
  <c r="M319" i="5"/>
  <c r="N319" i="5"/>
  <c r="K320" i="5"/>
  <c r="L320" i="5"/>
  <c r="M320" i="5"/>
  <c r="N320" i="5"/>
  <c r="K321" i="5"/>
  <c r="L321" i="5"/>
  <c r="M321" i="5"/>
  <c r="N321" i="5"/>
  <c r="K322" i="5"/>
  <c r="L322" i="5"/>
  <c r="M322" i="5"/>
  <c r="N322" i="5"/>
  <c r="K323" i="5"/>
  <c r="L323" i="5"/>
  <c r="M323" i="5"/>
  <c r="N323" i="5"/>
  <c r="K324" i="5"/>
  <c r="L324" i="5"/>
  <c r="M324" i="5"/>
  <c r="N324" i="5"/>
  <c r="K325" i="5"/>
  <c r="L325" i="5"/>
  <c r="M325" i="5"/>
  <c r="N325" i="5"/>
  <c r="K326" i="5"/>
  <c r="L326" i="5"/>
  <c r="M326" i="5"/>
  <c r="N326" i="5"/>
  <c r="K327" i="5"/>
  <c r="L327" i="5"/>
  <c r="M327" i="5"/>
  <c r="N327" i="5"/>
  <c r="K328" i="5"/>
  <c r="L328" i="5"/>
  <c r="M328" i="5"/>
  <c r="N328" i="5"/>
  <c r="K329" i="5"/>
  <c r="L329" i="5"/>
  <c r="M329" i="5"/>
  <c r="N329" i="5"/>
  <c r="K330" i="5"/>
  <c r="L330" i="5"/>
  <c r="M330" i="5"/>
  <c r="N330" i="5"/>
  <c r="K331" i="5"/>
  <c r="L331" i="5"/>
  <c r="M331" i="5"/>
  <c r="N331" i="5"/>
  <c r="K332" i="5"/>
  <c r="L332" i="5"/>
  <c r="M332" i="5"/>
  <c r="N332" i="5"/>
  <c r="K333" i="5"/>
  <c r="L333" i="5"/>
  <c r="M333" i="5"/>
  <c r="N333" i="5"/>
  <c r="K334" i="5"/>
  <c r="L334" i="5"/>
  <c r="M334" i="5"/>
  <c r="N334" i="5"/>
  <c r="K335" i="5"/>
  <c r="L335" i="5"/>
  <c r="M335" i="5"/>
  <c r="N335" i="5"/>
  <c r="K336" i="5"/>
  <c r="L336" i="5"/>
  <c r="M336" i="5"/>
  <c r="N336" i="5"/>
  <c r="K337" i="5"/>
  <c r="L337" i="5"/>
  <c r="M337" i="5"/>
  <c r="N337" i="5"/>
  <c r="K338" i="5"/>
  <c r="L338" i="5"/>
  <c r="M338" i="5"/>
  <c r="N338" i="5"/>
  <c r="K339" i="5"/>
  <c r="L339" i="5"/>
  <c r="M339" i="5"/>
  <c r="N339" i="5"/>
  <c r="K340" i="5"/>
  <c r="L340" i="5"/>
  <c r="M340" i="5"/>
  <c r="N340" i="5"/>
  <c r="K341" i="5"/>
  <c r="L341" i="5"/>
  <c r="M341" i="5"/>
  <c r="N341" i="5"/>
  <c r="K342" i="5"/>
  <c r="L342" i="5"/>
  <c r="M342" i="5"/>
  <c r="N342" i="5"/>
  <c r="K343" i="5"/>
  <c r="L343" i="5"/>
  <c r="M343" i="5"/>
  <c r="N343" i="5"/>
  <c r="K344" i="5"/>
  <c r="L344" i="5"/>
  <c r="M344" i="5"/>
  <c r="N344" i="5"/>
  <c r="K345" i="5"/>
  <c r="L345" i="5"/>
  <c r="M345" i="5"/>
  <c r="N345" i="5"/>
  <c r="K346" i="5"/>
  <c r="L346" i="5"/>
  <c r="M346" i="5"/>
  <c r="N346" i="5"/>
  <c r="K347" i="5"/>
  <c r="L347" i="5"/>
  <c r="M347" i="5"/>
  <c r="N347" i="5"/>
  <c r="K348" i="5"/>
  <c r="L348" i="5"/>
  <c r="M348" i="5"/>
  <c r="N348" i="5"/>
  <c r="K349" i="5"/>
  <c r="L349" i="5"/>
  <c r="M349" i="5"/>
  <c r="N349" i="5"/>
  <c r="K350" i="5"/>
  <c r="L350" i="5"/>
  <c r="M350" i="5"/>
  <c r="N350" i="5"/>
  <c r="K351" i="5"/>
  <c r="L351" i="5"/>
  <c r="M351" i="5"/>
  <c r="N351" i="5"/>
  <c r="K352" i="5"/>
  <c r="L352" i="5"/>
  <c r="M352" i="5"/>
  <c r="N352" i="5"/>
  <c r="K353" i="5"/>
  <c r="L353" i="5"/>
  <c r="M353" i="5"/>
  <c r="N353" i="5"/>
  <c r="K354" i="5"/>
  <c r="L354" i="5"/>
  <c r="M354" i="5"/>
  <c r="N354" i="5"/>
  <c r="K355" i="5"/>
  <c r="L355" i="5"/>
  <c r="M355" i="5"/>
  <c r="N355" i="5"/>
  <c r="K356" i="5"/>
  <c r="L356" i="5"/>
  <c r="M356" i="5"/>
  <c r="N356" i="5"/>
  <c r="K357" i="5"/>
  <c r="L357" i="5"/>
  <c r="M357" i="5"/>
  <c r="N357" i="5"/>
  <c r="K358" i="5"/>
  <c r="L358" i="5"/>
  <c r="M358" i="5"/>
  <c r="N358" i="5"/>
  <c r="K359" i="5"/>
  <c r="L359" i="5"/>
  <c r="M359" i="5"/>
  <c r="N359" i="5"/>
  <c r="K360" i="5"/>
  <c r="L360" i="5"/>
  <c r="M360" i="5"/>
  <c r="N360" i="5"/>
  <c r="K361" i="5"/>
  <c r="L361" i="5"/>
  <c r="M361" i="5"/>
  <c r="N361" i="5"/>
  <c r="K362" i="5"/>
  <c r="L362" i="5"/>
  <c r="M362" i="5"/>
  <c r="N362" i="5"/>
  <c r="K363" i="5"/>
  <c r="L363" i="5"/>
  <c r="M363" i="5"/>
  <c r="N363" i="5"/>
  <c r="K364" i="5"/>
  <c r="L364" i="5"/>
  <c r="M364" i="5"/>
  <c r="N364" i="5"/>
  <c r="K365" i="5"/>
  <c r="L365" i="5"/>
  <c r="M365" i="5"/>
  <c r="N365" i="5"/>
  <c r="K366" i="5"/>
  <c r="L366" i="5"/>
  <c r="M366" i="5"/>
  <c r="N366" i="5"/>
  <c r="K367" i="5"/>
  <c r="L367" i="5"/>
  <c r="M367" i="5"/>
  <c r="N367" i="5"/>
  <c r="K368" i="5"/>
  <c r="L368" i="5"/>
  <c r="M368" i="5"/>
  <c r="N368" i="5"/>
  <c r="K369" i="5"/>
  <c r="L369" i="5"/>
  <c r="M369" i="5"/>
  <c r="N369" i="5"/>
  <c r="K370" i="5"/>
  <c r="L370" i="5"/>
  <c r="M370" i="5"/>
  <c r="N370" i="5"/>
  <c r="K371" i="5"/>
  <c r="L371" i="5"/>
  <c r="M371" i="5"/>
  <c r="N371" i="5"/>
  <c r="K372" i="5"/>
  <c r="L372" i="5"/>
  <c r="M372" i="5"/>
  <c r="N372" i="5"/>
  <c r="K373" i="5"/>
  <c r="L373" i="5"/>
  <c r="M373" i="5"/>
  <c r="N373" i="5"/>
  <c r="K374" i="5"/>
  <c r="L374" i="5"/>
  <c r="M374" i="5"/>
  <c r="N374" i="5"/>
  <c r="K375" i="5"/>
  <c r="L375" i="5"/>
  <c r="M375" i="5"/>
  <c r="N375" i="5"/>
  <c r="K376" i="5"/>
  <c r="L376" i="5"/>
  <c r="M376" i="5"/>
  <c r="N376" i="5"/>
  <c r="K377" i="5"/>
  <c r="L377" i="5"/>
  <c r="M377" i="5"/>
  <c r="N377" i="5"/>
  <c r="K378" i="5"/>
  <c r="L378" i="5"/>
  <c r="M378" i="5"/>
  <c r="N378" i="5"/>
  <c r="K379" i="5"/>
  <c r="L379" i="5"/>
  <c r="M379" i="5"/>
  <c r="N379" i="5"/>
  <c r="K380" i="5"/>
  <c r="L380" i="5"/>
  <c r="M380" i="5"/>
  <c r="N380" i="5"/>
  <c r="K381" i="5"/>
  <c r="L381" i="5"/>
  <c r="M381" i="5"/>
  <c r="N381" i="5"/>
  <c r="K382" i="5"/>
  <c r="L382" i="5"/>
  <c r="M382" i="5"/>
  <c r="N382" i="5"/>
  <c r="K383" i="5"/>
  <c r="L383" i="5"/>
  <c r="M383" i="5"/>
  <c r="N383" i="5"/>
  <c r="K384" i="5"/>
  <c r="L384" i="5"/>
  <c r="M384" i="5"/>
  <c r="N384" i="5"/>
  <c r="K385" i="5"/>
  <c r="L385" i="5"/>
  <c r="M385" i="5"/>
  <c r="N385" i="5"/>
  <c r="K386" i="5"/>
  <c r="L386" i="5"/>
  <c r="M386" i="5"/>
  <c r="N386" i="5"/>
  <c r="K387" i="5"/>
  <c r="L387" i="5"/>
  <c r="M387" i="5"/>
  <c r="N387" i="5"/>
  <c r="K388" i="5"/>
  <c r="L388" i="5"/>
  <c r="M388" i="5"/>
  <c r="N388" i="5"/>
  <c r="K389" i="5"/>
  <c r="L389" i="5"/>
  <c r="M389" i="5"/>
  <c r="N389" i="5"/>
  <c r="K390" i="5"/>
  <c r="L390" i="5"/>
  <c r="M390" i="5"/>
  <c r="N390" i="5"/>
  <c r="K391" i="5"/>
  <c r="L391" i="5"/>
  <c r="M391" i="5"/>
  <c r="N391" i="5"/>
  <c r="K392" i="5"/>
  <c r="L392" i="5"/>
  <c r="M392" i="5"/>
  <c r="N392" i="5"/>
  <c r="K393" i="5"/>
  <c r="L393" i="5"/>
  <c r="M393" i="5"/>
  <c r="N393" i="5"/>
  <c r="K394" i="5"/>
  <c r="L394" i="5"/>
  <c r="M394" i="5"/>
  <c r="N394" i="5"/>
  <c r="K395" i="5"/>
  <c r="L395" i="5"/>
  <c r="M395" i="5"/>
  <c r="N395" i="5"/>
  <c r="K396" i="5"/>
  <c r="L396" i="5"/>
  <c r="M396" i="5"/>
  <c r="N396" i="5"/>
  <c r="K397" i="5"/>
  <c r="L397" i="5"/>
  <c r="M397" i="5"/>
  <c r="N397" i="5"/>
  <c r="K398" i="5"/>
  <c r="L398" i="5"/>
  <c r="M398" i="5"/>
  <c r="N398" i="5"/>
  <c r="K399" i="5"/>
  <c r="L399" i="5"/>
  <c r="M399" i="5"/>
  <c r="N399" i="5"/>
  <c r="K400" i="5"/>
  <c r="L400" i="5"/>
  <c r="M400" i="5"/>
  <c r="N400" i="5"/>
  <c r="K401" i="5"/>
  <c r="L401" i="5"/>
  <c r="M401" i="5"/>
  <c r="N401" i="5"/>
  <c r="K402" i="5"/>
  <c r="L402" i="5"/>
  <c r="M402" i="5"/>
  <c r="N402" i="5"/>
  <c r="K403" i="5"/>
  <c r="L403" i="5"/>
  <c r="M403" i="5"/>
  <c r="N403" i="5"/>
  <c r="K404" i="5"/>
  <c r="L404" i="5"/>
  <c r="M404" i="5"/>
  <c r="N404" i="5"/>
  <c r="K405" i="5"/>
  <c r="L405" i="5"/>
  <c r="M405" i="5"/>
  <c r="N405" i="5"/>
  <c r="K406" i="5"/>
  <c r="L406" i="5"/>
  <c r="M406" i="5"/>
  <c r="N406" i="5"/>
  <c r="K407" i="5"/>
  <c r="L407" i="5"/>
  <c r="M407" i="5"/>
  <c r="N407" i="5"/>
  <c r="K408" i="5"/>
  <c r="L408" i="5"/>
  <c r="M408" i="5"/>
  <c r="N408" i="5"/>
  <c r="K409" i="5"/>
  <c r="L409" i="5"/>
  <c r="M409" i="5"/>
  <c r="N409" i="5"/>
  <c r="K410" i="5"/>
  <c r="L410" i="5"/>
  <c r="M410" i="5"/>
  <c r="N410" i="5"/>
  <c r="K411" i="5"/>
  <c r="L411" i="5"/>
  <c r="M411" i="5"/>
  <c r="N411" i="5"/>
  <c r="K412" i="5"/>
  <c r="L412" i="5"/>
  <c r="M412" i="5"/>
  <c r="N412" i="5"/>
  <c r="K413" i="5"/>
  <c r="L413" i="5"/>
  <c r="M413" i="5"/>
  <c r="N413" i="5"/>
  <c r="K414" i="5"/>
  <c r="L414" i="5"/>
  <c r="M414" i="5"/>
  <c r="N414" i="5"/>
  <c r="K415" i="5"/>
  <c r="L415" i="5"/>
  <c r="M415" i="5"/>
  <c r="N415" i="5"/>
  <c r="K416" i="5"/>
  <c r="L416" i="5"/>
  <c r="M416" i="5"/>
  <c r="N416" i="5"/>
  <c r="K417" i="5"/>
  <c r="L417" i="5"/>
  <c r="M417" i="5"/>
  <c r="N417" i="5"/>
  <c r="K418" i="5"/>
  <c r="L418" i="5"/>
  <c r="M418" i="5"/>
  <c r="N418" i="5"/>
  <c r="K419" i="5"/>
  <c r="L419" i="5"/>
  <c r="M419" i="5"/>
  <c r="N419" i="5"/>
  <c r="K420" i="5"/>
  <c r="L420" i="5"/>
  <c r="M420" i="5"/>
  <c r="N420" i="5"/>
  <c r="K421" i="5"/>
  <c r="L421" i="5"/>
  <c r="M421" i="5"/>
  <c r="N421" i="5"/>
  <c r="K422" i="5"/>
  <c r="L422" i="5"/>
  <c r="M422" i="5"/>
  <c r="N422" i="5"/>
  <c r="K423" i="5"/>
  <c r="L423" i="5"/>
  <c r="M423" i="5"/>
  <c r="N423" i="5"/>
  <c r="K424" i="5"/>
  <c r="L424" i="5"/>
  <c r="M424" i="5"/>
  <c r="N424" i="5"/>
  <c r="K425" i="5"/>
  <c r="L425" i="5"/>
  <c r="M425" i="5"/>
  <c r="N425" i="5"/>
  <c r="K426" i="5"/>
  <c r="L426" i="5"/>
  <c r="M426" i="5"/>
  <c r="N426" i="5"/>
  <c r="K427" i="5"/>
  <c r="L427" i="5"/>
  <c r="M427" i="5"/>
  <c r="N427" i="5"/>
  <c r="K428" i="5"/>
  <c r="L428" i="5"/>
  <c r="M428" i="5"/>
  <c r="N428" i="5"/>
  <c r="K429" i="5"/>
  <c r="L429" i="5"/>
  <c r="M429" i="5"/>
  <c r="N429" i="5"/>
  <c r="K430" i="5"/>
  <c r="L430" i="5"/>
  <c r="M430" i="5"/>
  <c r="N430" i="5"/>
  <c r="K431" i="5"/>
  <c r="L431" i="5"/>
  <c r="M431" i="5"/>
  <c r="N431" i="5"/>
  <c r="K432" i="5"/>
  <c r="L432" i="5"/>
  <c r="M432" i="5"/>
  <c r="N432" i="5"/>
  <c r="K433" i="5"/>
  <c r="L433" i="5"/>
  <c r="M433" i="5"/>
  <c r="N433" i="5"/>
  <c r="K434" i="5"/>
  <c r="L434" i="5"/>
  <c r="M434" i="5"/>
  <c r="N434" i="5"/>
  <c r="K435" i="5"/>
  <c r="L435" i="5"/>
  <c r="M435" i="5"/>
  <c r="N435" i="5"/>
  <c r="K436" i="5"/>
  <c r="L436" i="5"/>
  <c r="M436" i="5"/>
  <c r="N436" i="5"/>
  <c r="K437" i="5"/>
  <c r="L437" i="5"/>
  <c r="M437" i="5"/>
  <c r="N437" i="5"/>
  <c r="K438" i="5"/>
  <c r="L438" i="5"/>
  <c r="M438" i="5"/>
  <c r="N438" i="5"/>
  <c r="K439" i="5"/>
  <c r="L439" i="5"/>
  <c r="M439" i="5"/>
  <c r="N439" i="5"/>
  <c r="K440" i="5"/>
  <c r="L440" i="5"/>
  <c r="M440" i="5"/>
  <c r="N440" i="5"/>
  <c r="K441" i="5"/>
  <c r="L441" i="5"/>
  <c r="M441" i="5"/>
  <c r="N441" i="5"/>
  <c r="K442" i="5"/>
  <c r="L442" i="5"/>
  <c r="M442" i="5"/>
  <c r="N442" i="5"/>
  <c r="K443" i="5"/>
  <c r="L443" i="5"/>
  <c r="M443" i="5"/>
  <c r="N443" i="5"/>
  <c r="K444" i="5"/>
  <c r="L444" i="5"/>
  <c r="M444" i="5"/>
  <c r="N444" i="5"/>
  <c r="K445" i="5"/>
  <c r="L445" i="5"/>
  <c r="M445" i="5"/>
  <c r="N445" i="5"/>
  <c r="K446" i="5"/>
  <c r="L446" i="5"/>
  <c r="M446" i="5"/>
  <c r="N446" i="5"/>
  <c r="K447" i="5"/>
  <c r="L447" i="5"/>
  <c r="M447" i="5"/>
  <c r="N447" i="5"/>
  <c r="K448" i="5"/>
  <c r="L448" i="5"/>
  <c r="M448" i="5"/>
  <c r="N448" i="5"/>
  <c r="K449" i="5"/>
  <c r="L449" i="5"/>
  <c r="M449" i="5"/>
  <c r="N449" i="5"/>
  <c r="K450" i="5"/>
  <c r="L450" i="5"/>
  <c r="M450" i="5"/>
  <c r="N450" i="5"/>
  <c r="K451" i="5"/>
  <c r="L451" i="5"/>
  <c r="M451" i="5"/>
  <c r="N451" i="5"/>
  <c r="K452" i="5"/>
  <c r="L452" i="5"/>
  <c r="M452" i="5"/>
  <c r="N452" i="5"/>
  <c r="K453" i="5"/>
  <c r="L453" i="5"/>
  <c r="M453" i="5"/>
  <c r="N453" i="5"/>
  <c r="K454" i="5"/>
  <c r="L454" i="5"/>
  <c r="M454" i="5"/>
  <c r="N454" i="5"/>
  <c r="K455" i="5"/>
  <c r="L455" i="5"/>
  <c r="M455" i="5"/>
  <c r="N455" i="5"/>
  <c r="K456" i="5"/>
  <c r="L456" i="5"/>
  <c r="M456" i="5"/>
  <c r="N456" i="5"/>
  <c r="K457" i="5"/>
  <c r="L457" i="5"/>
  <c r="M457" i="5"/>
  <c r="N457" i="5"/>
  <c r="K458" i="5"/>
  <c r="L458" i="5"/>
  <c r="M458" i="5"/>
  <c r="N458" i="5"/>
  <c r="K459" i="5"/>
  <c r="L459" i="5"/>
  <c r="M459" i="5"/>
  <c r="N459" i="5"/>
  <c r="K460" i="5"/>
  <c r="L460" i="5"/>
  <c r="M460" i="5"/>
  <c r="N460" i="5"/>
  <c r="K461" i="5"/>
  <c r="L461" i="5"/>
  <c r="M461" i="5"/>
  <c r="N461" i="5"/>
  <c r="K462" i="5"/>
  <c r="L462" i="5"/>
  <c r="M462" i="5"/>
  <c r="N462" i="5"/>
  <c r="K463" i="5"/>
  <c r="L463" i="5"/>
  <c r="M463" i="5"/>
  <c r="N463" i="5"/>
  <c r="K464" i="5"/>
  <c r="L464" i="5"/>
  <c r="M464" i="5"/>
  <c r="N464" i="5"/>
  <c r="K465" i="5"/>
  <c r="L465" i="5"/>
  <c r="M465" i="5"/>
  <c r="N465" i="5"/>
  <c r="K466" i="5"/>
  <c r="L466" i="5"/>
  <c r="M466" i="5"/>
  <c r="N466" i="5"/>
  <c r="K467" i="5"/>
  <c r="L467" i="5"/>
  <c r="M467" i="5"/>
  <c r="N467" i="5"/>
  <c r="K468" i="5"/>
  <c r="L468" i="5"/>
  <c r="M468" i="5"/>
  <c r="N468" i="5"/>
  <c r="K469" i="5"/>
  <c r="L469" i="5"/>
  <c r="M469" i="5"/>
  <c r="N469" i="5"/>
  <c r="K470" i="5"/>
  <c r="L470" i="5"/>
  <c r="M470" i="5"/>
  <c r="N470" i="5"/>
  <c r="K471" i="5"/>
  <c r="L471" i="5"/>
  <c r="M471" i="5"/>
  <c r="N471" i="5"/>
  <c r="K472" i="5"/>
  <c r="L472" i="5"/>
  <c r="M472" i="5"/>
  <c r="N472" i="5"/>
  <c r="K473" i="5"/>
  <c r="L473" i="5"/>
  <c r="M473" i="5"/>
  <c r="N473" i="5"/>
  <c r="K474" i="5"/>
  <c r="L474" i="5"/>
  <c r="M474" i="5"/>
  <c r="N474" i="5"/>
  <c r="K475" i="5"/>
  <c r="L475" i="5"/>
  <c r="M475" i="5"/>
  <c r="N475" i="5"/>
  <c r="K476" i="5"/>
  <c r="L476" i="5"/>
  <c r="M476" i="5"/>
  <c r="N476" i="5"/>
  <c r="K477" i="5"/>
  <c r="L477" i="5"/>
  <c r="M477" i="5"/>
  <c r="N477" i="5"/>
  <c r="K478" i="5"/>
  <c r="L478" i="5"/>
  <c r="M478" i="5"/>
  <c r="N478" i="5"/>
  <c r="K479" i="5"/>
  <c r="L479" i="5"/>
  <c r="M479" i="5"/>
  <c r="N479" i="5"/>
  <c r="K480" i="5"/>
  <c r="L480" i="5"/>
  <c r="M480" i="5"/>
  <c r="N480" i="5"/>
  <c r="K481" i="5"/>
  <c r="L481" i="5"/>
  <c r="M481" i="5"/>
  <c r="N481" i="5"/>
  <c r="K482" i="5"/>
  <c r="L482" i="5"/>
  <c r="M482" i="5"/>
  <c r="N482" i="5"/>
  <c r="K483" i="5"/>
  <c r="L483" i="5"/>
  <c r="M483" i="5"/>
  <c r="N483" i="5"/>
  <c r="K484" i="5"/>
  <c r="L484" i="5"/>
  <c r="M484" i="5"/>
  <c r="N484" i="5"/>
  <c r="K485" i="5"/>
  <c r="L485" i="5"/>
  <c r="M485" i="5"/>
  <c r="N485" i="5"/>
  <c r="K486" i="5"/>
  <c r="L486" i="5"/>
  <c r="M486" i="5"/>
  <c r="N486" i="5"/>
  <c r="K487" i="5"/>
  <c r="L487" i="5"/>
  <c r="M487" i="5"/>
  <c r="N487" i="5"/>
  <c r="K488" i="5"/>
  <c r="L488" i="5"/>
  <c r="M488" i="5"/>
  <c r="N488" i="5"/>
  <c r="K489" i="5"/>
  <c r="L489" i="5"/>
  <c r="M489" i="5"/>
  <c r="N489" i="5"/>
  <c r="K490" i="5"/>
  <c r="L490" i="5"/>
  <c r="M490" i="5"/>
  <c r="N490" i="5"/>
  <c r="K491" i="5"/>
  <c r="L491" i="5"/>
  <c r="M491" i="5"/>
  <c r="N491" i="5"/>
  <c r="K492" i="5"/>
  <c r="L492" i="5"/>
  <c r="M492" i="5"/>
  <c r="N492" i="5"/>
  <c r="K493" i="5"/>
  <c r="L493" i="5"/>
  <c r="M493" i="5"/>
  <c r="N493" i="5"/>
  <c r="K494" i="5"/>
  <c r="L494" i="5"/>
  <c r="M494" i="5"/>
  <c r="N494" i="5"/>
  <c r="K495" i="5"/>
  <c r="L495" i="5"/>
  <c r="M495" i="5"/>
  <c r="N495" i="5"/>
  <c r="K496" i="5"/>
  <c r="L496" i="5"/>
  <c r="M496" i="5"/>
  <c r="N496" i="5"/>
  <c r="K497" i="5"/>
  <c r="L497" i="5"/>
  <c r="M497" i="5"/>
  <c r="N497" i="5"/>
  <c r="K498" i="5"/>
  <c r="L498" i="5"/>
  <c r="M498" i="5"/>
  <c r="N498" i="5"/>
  <c r="K499" i="5"/>
  <c r="L499" i="5"/>
  <c r="M499" i="5"/>
  <c r="N499" i="5"/>
  <c r="K500" i="5"/>
  <c r="L500" i="5"/>
  <c r="M500" i="5"/>
  <c r="N500" i="5"/>
  <c r="K6" i="5"/>
  <c r="L6" i="5"/>
  <c r="N6" i="5"/>
  <c r="K7" i="5"/>
  <c r="L7" i="5"/>
  <c r="M7" i="5"/>
  <c r="N7" i="5"/>
  <c r="K8" i="5"/>
  <c r="L8" i="5"/>
  <c r="M8" i="5"/>
  <c r="N8" i="5"/>
  <c r="K9" i="5"/>
  <c r="L9" i="5"/>
  <c r="M9" i="5"/>
  <c r="N9" i="5"/>
  <c r="K10" i="5"/>
  <c r="L10" i="5"/>
  <c r="M10" i="5"/>
  <c r="N10" i="5"/>
  <c r="K11" i="5"/>
  <c r="L11" i="5"/>
  <c r="M11" i="5"/>
  <c r="N11" i="5"/>
  <c r="K12" i="5"/>
  <c r="L12" i="5"/>
  <c r="M12" i="5"/>
  <c r="N12" i="5"/>
  <c r="K13" i="5"/>
  <c r="L13" i="5"/>
  <c r="N13" i="5"/>
  <c r="K14" i="5"/>
  <c r="L14" i="5"/>
  <c r="N14" i="5"/>
  <c r="K15" i="5"/>
  <c r="L15" i="5"/>
  <c r="M15" i="5"/>
  <c r="N15" i="5"/>
  <c r="K16" i="5"/>
  <c r="L16" i="5"/>
  <c r="N16" i="5"/>
  <c r="K17" i="5"/>
  <c r="M17" i="5" s="1"/>
  <c r="L17" i="5"/>
  <c r="N17" i="5"/>
  <c r="K18" i="5"/>
  <c r="L18" i="5"/>
  <c r="N18" i="5"/>
  <c r="K19" i="5"/>
  <c r="L19" i="5"/>
  <c r="M19" i="5" s="1"/>
  <c r="N19" i="5"/>
  <c r="K20" i="5"/>
  <c r="L20" i="5"/>
  <c r="N20" i="5"/>
  <c r="K21" i="5"/>
  <c r="L21" i="5"/>
  <c r="M21" i="5" s="1"/>
  <c r="N21" i="5"/>
  <c r="K22" i="5"/>
  <c r="L22" i="5"/>
  <c r="N22" i="5"/>
  <c r="K23" i="5"/>
  <c r="L23" i="5"/>
  <c r="M23" i="5" s="1"/>
  <c r="N23" i="5"/>
  <c r="K24" i="5"/>
  <c r="L24" i="5"/>
  <c r="N24" i="5"/>
  <c r="K25" i="5"/>
  <c r="L25" i="5"/>
  <c r="M25" i="5" s="1"/>
  <c r="N25" i="5"/>
  <c r="K26" i="5"/>
  <c r="L26" i="5"/>
  <c r="N26" i="5"/>
  <c r="K27" i="5"/>
  <c r="L27" i="5"/>
  <c r="N27" i="5"/>
  <c r="K28" i="5"/>
  <c r="L28" i="5"/>
  <c r="N28" i="5"/>
  <c r="K29" i="5"/>
  <c r="L29" i="5"/>
  <c r="N29" i="5"/>
  <c r="K30" i="5"/>
  <c r="L30" i="5"/>
  <c r="N30" i="5"/>
  <c r="K31" i="5"/>
  <c r="L31" i="5"/>
  <c r="M31" i="5"/>
  <c r="N31" i="5"/>
  <c r="K32" i="5"/>
  <c r="L32" i="5"/>
  <c r="N32" i="5"/>
  <c r="K33" i="5"/>
  <c r="L33" i="5"/>
  <c r="N33" i="5"/>
  <c r="K34" i="5"/>
  <c r="L34" i="5"/>
  <c r="N34" i="5"/>
  <c r="K35" i="5"/>
  <c r="L35" i="5"/>
  <c r="N35" i="5"/>
  <c r="K36" i="5"/>
  <c r="L36" i="5"/>
  <c r="N36" i="5"/>
  <c r="K37" i="5"/>
  <c r="L37" i="5"/>
  <c r="M37" i="5" s="1"/>
  <c r="N37" i="5"/>
  <c r="K38" i="5"/>
  <c r="L38" i="5"/>
  <c r="N38" i="5"/>
  <c r="K39" i="5"/>
  <c r="L39" i="5"/>
  <c r="M39" i="5" s="1"/>
  <c r="N39" i="5"/>
  <c r="K40" i="5"/>
  <c r="L40" i="5"/>
  <c r="N40" i="5"/>
  <c r="K41" i="5"/>
  <c r="L41" i="5"/>
  <c r="M41" i="5" s="1"/>
  <c r="N41" i="5"/>
  <c r="K42" i="5"/>
  <c r="L42" i="5"/>
  <c r="N42" i="5"/>
  <c r="K43" i="5"/>
  <c r="L43" i="5"/>
  <c r="N43" i="5"/>
  <c r="K44" i="5"/>
  <c r="L44" i="5"/>
  <c r="N44" i="5"/>
  <c r="K45" i="5"/>
  <c r="L45" i="5"/>
  <c r="N45" i="5"/>
  <c r="K46" i="5"/>
  <c r="L46" i="5"/>
  <c r="N46" i="5"/>
  <c r="K47" i="5"/>
  <c r="L47" i="5"/>
  <c r="M47" i="5"/>
  <c r="N47" i="5"/>
  <c r="K48" i="5"/>
  <c r="L48" i="5"/>
  <c r="M48" i="5" s="1"/>
  <c r="N48" i="5"/>
  <c r="K49" i="5"/>
  <c r="L49" i="5"/>
  <c r="N49" i="5"/>
  <c r="K50" i="5"/>
  <c r="L50" i="5"/>
  <c r="N50" i="5"/>
  <c r="K51" i="5"/>
  <c r="L51" i="5"/>
  <c r="N51" i="5"/>
  <c r="K52" i="5"/>
  <c r="L52" i="5"/>
  <c r="N52" i="5"/>
  <c r="K53" i="5"/>
  <c r="L53" i="5"/>
  <c r="N53" i="5"/>
  <c r="K54" i="5"/>
  <c r="L54" i="5"/>
  <c r="N54" i="5"/>
  <c r="K55" i="5"/>
  <c r="L55" i="5"/>
  <c r="M55" i="5" s="1"/>
  <c r="N55" i="5"/>
  <c r="K56" i="5"/>
  <c r="L56" i="5"/>
  <c r="M56" i="5" s="1"/>
  <c r="N56" i="5"/>
  <c r="K57" i="5"/>
  <c r="L57" i="5"/>
  <c r="N57" i="5"/>
  <c r="K58" i="5"/>
  <c r="L58" i="5"/>
  <c r="M58" i="5"/>
  <c r="N58" i="5"/>
  <c r="K59" i="5"/>
  <c r="M59" i="5" s="1"/>
  <c r="L59" i="5"/>
  <c r="N59" i="5"/>
  <c r="K60" i="5"/>
  <c r="L60" i="5"/>
  <c r="N60" i="5"/>
  <c r="K61" i="5"/>
  <c r="L61" i="5"/>
  <c r="N61" i="5"/>
  <c r="K62" i="5"/>
  <c r="L62" i="5"/>
  <c r="N62" i="5"/>
  <c r="K63" i="5"/>
  <c r="L63" i="5"/>
  <c r="N63" i="5"/>
  <c r="K64" i="5"/>
  <c r="L64" i="5"/>
  <c r="N64" i="5"/>
  <c r="K65" i="5"/>
  <c r="L65" i="5"/>
  <c r="M65" i="5"/>
  <c r="N65" i="5"/>
  <c r="K66" i="5"/>
  <c r="L66" i="5"/>
  <c r="N66" i="5"/>
  <c r="K67" i="5"/>
  <c r="L67" i="5"/>
  <c r="M67" i="5"/>
  <c r="N67" i="5"/>
  <c r="K68" i="5"/>
  <c r="L68" i="5"/>
  <c r="N68" i="5"/>
  <c r="K69" i="5"/>
  <c r="L69" i="5"/>
  <c r="N69" i="5"/>
  <c r="K70" i="5"/>
  <c r="L70" i="5"/>
  <c r="M70" i="5" s="1"/>
  <c r="N70" i="5"/>
  <c r="K71" i="5"/>
  <c r="L71" i="5"/>
  <c r="N71" i="5"/>
  <c r="K72" i="5"/>
  <c r="L72" i="5"/>
  <c r="N72" i="5"/>
  <c r="K73" i="5"/>
  <c r="L73" i="5"/>
  <c r="N73" i="5"/>
  <c r="K74" i="5"/>
  <c r="L74" i="5"/>
  <c r="M74" i="5" s="1"/>
  <c r="N74" i="5"/>
  <c r="K75" i="5"/>
  <c r="L75" i="5"/>
  <c r="M75" i="5"/>
  <c r="N75" i="5"/>
  <c r="K76" i="5"/>
  <c r="L76" i="5"/>
  <c r="N76" i="5"/>
  <c r="K77" i="5"/>
  <c r="L77" i="5"/>
  <c r="N77" i="5"/>
  <c r="K78" i="5"/>
  <c r="L78" i="5"/>
  <c r="N78" i="5"/>
  <c r="K79" i="5"/>
  <c r="L79" i="5"/>
  <c r="M79" i="5" s="1"/>
  <c r="N79" i="5"/>
  <c r="K80" i="5"/>
  <c r="L80" i="5"/>
  <c r="N80" i="5"/>
  <c r="K81" i="5"/>
  <c r="L81" i="5"/>
  <c r="N81" i="5"/>
  <c r="K82" i="5"/>
  <c r="L82" i="5"/>
  <c r="N82" i="5"/>
  <c r="K83" i="5"/>
  <c r="M83" i="5" s="1"/>
  <c r="L83" i="5"/>
  <c r="N83" i="5"/>
  <c r="K84" i="5"/>
  <c r="L84" i="5"/>
  <c r="N84" i="5"/>
  <c r="K85" i="5"/>
  <c r="L85" i="5"/>
  <c r="N85" i="5"/>
  <c r="K86" i="5"/>
  <c r="L86" i="5"/>
  <c r="N86" i="5"/>
  <c r="K87" i="5"/>
  <c r="L87" i="5"/>
  <c r="N87" i="5"/>
  <c r="K88" i="5"/>
  <c r="L88" i="5"/>
  <c r="N88" i="5"/>
  <c r="K89" i="5"/>
  <c r="L89" i="5"/>
  <c r="M89" i="5" s="1"/>
  <c r="N89" i="5"/>
  <c r="K90" i="5"/>
  <c r="L90" i="5"/>
  <c r="N90" i="5"/>
  <c r="K91" i="5"/>
  <c r="L91" i="5"/>
  <c r="N91" i="5"/>
  <c r="K92" i="5"/>
  <c r="L92" i="5"/>
  <c r="N92" i="5"/>
  <c r="K93" i="5"/>
  <c r="L93" i="5"/>
  <c r="M93" i="5"/>
  <c r="N93" i="5"/>
  <c r="K94" i="5"/>
  <c r="L94" i="5"/>
  <c r="N94" i="5"/>
  <c r="K95" i="5"/>
  <c r="L95" i="5"/>
  <c r="M95" i="5"/>
  <c r="N95" i="5"/>
  <c r="K96" i="5"/>
  <c r="L96" i="5"/>
  <c r="N96" i="5"/>
  <c r="K97" i="5"/>
  <c r="L97" i="5"/>
  <c r="M97" i="5"/>
  <c r="N97" i="5"/>
  <c r="K98" i="5"/>
  <c r="L98" i="5"/>
  <c r="N98" i="5"/>
  <c r="K99" i="5"/>
  <c r="L99" i="5"/>
  <c r="N99" i="5"/>
  <c r="K100" i="5"/>
  <c r="L100" i="5"/>
  <c r="N100" i="5"/>
  <c r="K101" i="5"/>
  <c r="L101" i="5"/>
  <c r="N101" i="5"/>
  <c r="K102" i="5"/>
  <c r="L102" i="5"/>
  <c r="N102" i="5"/>
  <c r="K103" i="5"/>
  <c r="L103" i="5"/>
  <c r="N103" i="5"/>
  <c r="K104" i="5"/>
  <c r="L104" i="5"/>
  <c r="M104" i="5" s="1"/>
  <c r="N104" i="5"/>
  <c r="K105" i="5"/>
  <c r="L105" i="5"/>
  <c r="M105" i="5" s="1"/>
  <c r="N105" i="5"/>
  <c r="K106" i="5"/>
  <c r="L106" i="5"/>
  <c r="N106" i="5"/>
  <c r="K107" i="5"/>
  <c r="L107" i="5"/>
  <c r="M107" i="5" s="1"/>
  <c r="N107" i="5"/>
  <c r="K108" i="5"/>
  <c r="L108" i="5"/>
  <c r="N108" i="5"/>
  <c r="K109" i="5"/>
  <c r="L109" i="5"/>
  <c r="N109" i="5"/>
  <c r="K110" i="5"/>
  <c r="L110" i="5"/>
  <c r="N110" i="5"/>
  <c r="K111" i="5"/>
  <c r="L111" i="5"/>
  <c r="N111" i="5"/>
  <c r="K112" i="5"/>
  <c r="L112" i="5"/>
  <c r="N112" i="5"/>
  <c r="K113" i="5"/>
  <c r="L113" i="5"/>
  <c r="M113" i="5" s="1"/>
  <c r="N113" i="5"/>
  <c r="K114" i="5"/>
  <c r="L114" i="5"/>
  <c r="N114" i="5"/>
  <c r="K115" i="5"/>
  <c r="L115" i="5"/>
  <c r="N115" i="5"/>
  <c r="K116" i="5"/>
  <c r="L116" i="5"/>
  <c r="M116" i="5"/>
  <c r="N116" i="5"/>
  <c r="K117" i="5"/>
  <c r="L117" i="5"/>
  <c r="N117" i="5"/>
  <c r="K118" i="5"/>
  <c r="L118" i="5"/>
  <c r="N118" i="5"/>
  <c r="K119" i="5"/>
  <c r="L119" i="5"/>
  <c r="N119" i="5"/>
  <c r="K120" i="5"/>
  <c r="L120" i="5"/>
  <c r="M120" i="5"/>
  <c r="N120" i="5"/>
  <c r="K121" i="5"/>
  <c r="L121" i="5"/>
  <c r="M121" i="5"/>
  <c r="N121" i="5"/>
  <c r="K122" i="5"/>
  <c r="L122" i="5"/>
  <c r="N122" i="5"/>
  <c r="K123" i="5"/>
  <c r="L123" i="5"/>
  <c r="M123" i="5"/>
  <c r="N123" i="5"/>
  <c r="K124" i="5"/>
  <c r="L124" i="5"/>
  <c r="M124" i="5" s="1"/>
  <c r="N124" i="5"/>
  <c r="K125" i="5"/>
  <c r="L125" i="5"/>
  <c r="N125" i="5"/>
  <c r="K126" i="5"/>
  <c r="L126" i="5"/>
  <c r="N126" i="5"/>
  <c r="K127" i="5"/>
  <c r="M127" i="5" s="1"/>
  <c r="L127" i="5"/>
  <c r="N127" i="5"/>
  <c r="K128" i="5"/>
  <c r="L128" i="5"/>
  <c r="N128" i="5"/>
  <c r="K129" i="5"/>
  <c r="L129" i="5"/>
  <c r="N129" i="5"/>
  <c r="K130" i="5"/>
  <c r="L130" i="5"/>
  <c r="N130" i="5"/>
  <c r="K131" i="5"/>
  <c r="L131" i="5"/>
  <c r="M131" i="5" s="1"/>
  <c r="N131" i="5"/>
  <c r="K132" i="5"/>
  <c r="L132" i="5"/>
  <c r="N132" i="5"/>
  <c r="K133" i="5"/>
  <c r="L133" i="5"/>
  <c r="M133" i="5" s="1"/>
  <c r="N133" i="5"/>
  <c r="K134" i="5"/>
  <c r="L134" i="5"/>
  <c r="N134" i="5"/>
  <c r="K135" i="5"/>
  <c r="M135" i="5" s="1"/>
  <c r="L135" i="5"/>
  <c r="N135" i="5"/>
  <c r="K136" i="5"/>
  <c r="L136" i="5"/>
  <c r="N136" i="5"/>
  <c r="K137" i="5"/>
  <c r="L137" i="5"/>
  <c r="N137" i="5"/>
  <c r="K138" i="5"/>
  <c r="L138" i="5"/>
  <c r="M138" i="5" s="1"/>
  <c r="N138" i="5"/>
  <c r="K139" i="5"/>
  <c r="L139" i="5"/>
  <c r="N139" i="5"/>
  <c r="K140" i="5"/>
  <c r="L140" i="5"/>
  <c r="N140" i="5"/>
  <c r="K141" i="5"/>
  <c r="L141" i="5"/>
  <c r="N141" i="5"/>
  <c r="K142" i="5"/>
  <c r="L142" i="5"/>
  <c r="N142" i="5"/>
  <c r="K143" i="5"/>
  <c r="M143" i="5" s="1"/>
  <c r="L143" i="5"/>
  <c r="N143" i="5"/>
  <c r="K144" i="5"/>
  <c r="L144" i="5"/>
  <c r="N144" i="5"/>
  <c r="K145" i="5"/>
  <c r="L145" i="5"/>
  <c r="N145" i="5"/>
  <c r="K146" i="5"/>
  <c r="L146" i="5"/>
  <c r="M146" i="5" s="1"/>
  <c r="N146" i="5"/>
  <c r="K147" i="5"/>
  <c r="L147" i="5"/>
  <c r="N147" i="5"/>
  <c r="K148" i="5"/>
  <c r="L148" i="5"/>
  <c r="M148" i="5" s="1"/>
  <c r="N148" i="5"/>
  <c r="K149" i="5"/>
  <c r="L149" i="5"/>
  <c r="M149" i="5"/>
  <c r="N149" i="5"/>
  <c r="K150" i="5"/>
  <c r="L150" i="5"/>
  <c r="N150" i="5"/>
  <c r="K151" i="5"/>
  <c r="L151" i="5"/>
  <c r="N151" i="5"/>
  <c r="K152" i="5"/>
  <c r="L152" i="5"/>
  <c r="N152" i="5"/>
  <c r="K153" i="5"/>
  <c r="L153" i="5"/>
  <c r="M153" i="5" s="1"/>
  <c r="N153" i="5"/>
  <c r="K154" i="5"/>
  <c r="L154" i="5"/>
  <c r="N154" i="5"/>
  <c r="K155" i="5"/>
  <c r="L155" i="5"/>
  <c r="N155" i="5"/>
  <c r="K156" i="5"/>
  <c r="L156" i="5"/>
  <c r="N156" i="5"/>
  <c r="K157" i="5"/>
  <c r="L157" i="5"/>
  <c r="M157" i="5" s="1"/>
  <c r="N157" i="5"/>
  <c r="K158" i="5"/>
  <c r="L158" i="5"/>
  <c r="N158" i="5"/>
  <c r="K159" i="5"/>
  <c r="L159" i="5"/>
  <c r="M159" i="5" s="1"/>
  <c r="N159" i="5"/>
  <c r="K160" i="5"/>
  <c r="L160" i="5"/>
  <c r="M160" i="5"/>
  <c r="N160" i="5"/>
  <c r="K161" i="5"/>
  <c r="L161" i="5"/>
  <c r="M161" i="5"/>
  <c r="N161" i="5"/>
  <c r="K162" i="5"/>
  <c r="L162" i="5"/>
  <c r="N162" i="5"/>
  <c r="K163" i="5"/>
  <c r="L163" i="5"/>
  <c r="M163" i="5" s="1"/>
  <c r="N163" i="5"/>
  <c r="K164" i="5"/>
  <c r="L164" i="5"/>
  <c r="N164" i="5"/>
  <c r="K165" i="5"/>
  <c r="M165" i="5" s="1"/>
  <c r="L165" i="5"/>
  <c r="N165" i="5"/>
  <c r="K166" i="5"/>
  <c r="L166" i="5"/>
  <c r="N166" i="5"/>
  <c r="K167" i="5"/>
  <c r="L167" i="5"/>
  <c r="M167" i="5" s="1"/>
  <c r="N167" i="5"/>
  <c r="K168" i="5"/>
  <c r="L168" i="5"/>
  <c r="N168" i="5"/>
  <c r="K169" i="5"/>
  <c r="L169" i="5"/>
  <c r="N169" i="5"/>
  <c r="K170" i="5"/>
  <c r="L170" i="5"/>
  <c r="N170" i="5"/>
  <c r="K171" i="5"/>
  <c r="L171" i="5"/>
  <c r="N171" i="5"/>
  <c r="K172" i="5"/>
  <c r="L172" i="5"/>
  <c r="N172" i="5"/>
  <c r="K173" i="5"/>
  <c r="L173" i="5"/>
  <c r="N173" i="5"/>
  <c r="K174" i="5"/>
  <c r="L174" i="5"/>
  <c r="N174" i="5"/>
  <c r="K175" i="5"/>
  <c r="L175" i="5"/>
  <c r="N175" i="5"/>
  <c r="K176" i="5"/>
  <c r="L176" i="5"/>
  <c r="N176" i="5"/>
  <c r="K177" i="5"/>
  <c r="L177" i="5"/>
  <c r="M177" i="5" s="1"/>
  <c r="N177" i="5"/>
  <c r="K178" i="5"/>
  <c r="L178" i="5"/>
  <c r="N178" i="5"/>
  <c r="K179" i="5"/>
  <c r="L179" i="5"/>
  <c r="N179" i="5"/>
  <c r="K180" i="5"/>
  <c r="L180" i="5"/>
  <c r="N180" i="5"/>
  <c r="K181" i="5"/>
  <c r="M181" i="5" s="1"/>
  <c r="L181" i="5"/>
  <c r="N181" i="5"/>
  <c r="K182" i="5"/>
  <c r="L182" i="5"/>
  <c r="N182" i="5"/>
  <c r="K183" i="5"/>
  <c r="L183" i="5"/>
  <c r="N183" i="5"/>
  <c r="K184" i="5"/>
  <c r="L184" i="5"/>
  <c r="N184" i="5"/>
  <c r="K185" i="5"/>
  <c r="L185" i="5"/>
  <c r="N185" i="5"/>
  <c r="K186" i="5"/>
  <c r="L186" i="5"/>
  <c r="M186" i="5"/>
  <c r="N186" i="5"/>
  <c r="K187" i="5"/>
  <c r="L187" i="5"/>
  <c r="N187" i="5"/>
  <c r="K188" i="5"/>
  <c r="L188" i="5"/>
  <c r="N188" i="5"/>
  <c r="K189" i="5"/>
  <c r="L189" i="5"/>
  <c r="N189" i="5"/>
  <c r="K190" i="5"/>
  <c r="L190" i="5"/>
  <c r="N190" i="5"/>
  <c r="K191" i="5"/>
  <c r="L191" i="5"/>
  <c r="N191" i="5"/>
  <c r="K192" i="5"/>
  <c r="L192" i="5"/>
  <c r="M192" i="5"/>
  <c r="N192" i="5"/>
  <c r="K193" i="5"/>
  <c r="L193" i="5"/>
  <c r="N193" i="5"/>
  <c r="K194" i="5"/>
  <c r="L194" i="5"/>
  <c r="M194" i="5" s="1"/>
  <c r="N194" i="5"/>
  <c r="K195" i="5"/>
  <c r="L195" i="5"/>
  <c r="M195" i="5" s="1"/>
  <c r="N195" i="5"/>
  <c r="K196" i="5"/>
  <c r="L196" i="5"/>
  <c r="M196" i="5"/>
  <c r="N196" i="5"/>
  <c r="K197" i="5"/>
  <c r="L197" i="5"/>
  <c r="N197" i="5"/>
  <c r="K198" i="5"/>
  <c r="M198" i="5" s="1"/>
  <c r="L198" i="5"/>
  <c r="N198" i="5"/>
  <c r="K199" i="5"/>
  <c r="L199" i="5"/>
  <c r="M199" i="5" s="1"/>
  <c r="N199" i="5"/>
  <c r="K200" i="5"/>
  <c r="L200" i="5"/>
  <c r="M200" i="5" s="1"/>
  <c r="N200" i="5"/>
  <c r="L201" i="5"/>
  <c r="K201" i="5"/>
  <c r="M197" i="5" l="1"/>
  <c r="M190" i="5"/>
  <c r="M180" i="5"/>
  <c r="M164" i="5"/>
  <c r="M141" i="5"/>
  <c r="M111" i="5"/>
  <c r="M85" i="5"/>
  <c r="M29" i="5"/>
  <c r="M24" i="5"/>
  <c r="M16" i="5"/>
  <c r="M169" i="5"/>
  <c r="M156" i="5"/>
  <c r="M151" i="5"/>
  <c r="M69" i="5"/>
  <c r="M57" i="5"/>
  <c r="M49" i="5"/>
  <c r="M13" i="5"/>
  <c r="M115" i="5"/>
  <c r="M99" i="5"/>
  <c r="M43" i="5"/>
  <c r="M38" i="5"/>
  <c r="M33" i="5"/>
  <c r="M191" i="5"/>
  <c r="M173" i="5"/>
  <c r="M142" i="5"/>
  <c r="M134" i="5"/>
  <c r="M109" i="5"/>
  <c r="M101" i="5"/>
  <c r="M81" i="5"/>
  <c r="M35" i="5"/>
  <c r="M193" i="5"/>
  <c r="M183" i="5"/>
  <c r="M147" i="5"/>
  <c r="M91" i="5"/>
  <c r="M63" i="5"/>
  <c r="M45" i="5"/>
  <c r="M40" i="5"/>
  <c r="M32" i="5"/>
  <c r="M27" i="5"/>
  <c r="M22" i="5"/>
  <c r="M176" i="5"/>
  <c r="M171" i="5"/>
  <c r="M166" i="5"/>
  <c r="M154" i="5"/>
  <c r="M139" i="5"/>
  <c r="M129" i="5"/>
  <c r="M117" i="5"/>
  <c r="M102" i="5"/>
  <c r="M90" i="5"/>
  <c r="M82" i="5"/>
  <c r="M53" i="5"/>
  <c r="M34" i="5"/>
  <c r="M18" i="5"/>
  <c r="M168" i="5"/>
  <c r="M126" i="5"/>
  <c r="M119" i="5"/>
  <c r="M114" i="5"/>
  <c r="M87" i="5"/>
  <c r="M77" i="5"/>
  <c r="M72" i="5"/>
  <c r="M36" i="5"/>
  <c r="M20" i="5"/>
  <c r="M185" i="5"/>
  <c r="M187" i="5"/>
  <c r="M182" i="5"/>
  <c r="M158" i="5"/>
  <c r="M150" i="5"/>
  <c r="M125" i="5"/>
  <c r="M106" i="5"/>
  <c r="M98" i="5"/>
  <c r="M86" i="5"/>
  <c r="M71" i="5"/>
  <c r="M66" i="5"/>
  <c r="M42" i="5"/>
  <c r="M26" i="5"/>
  <c r="M189" i="5"/>
  <c r="M184" i="5"/>
  <c r="M172" i="5"/>
  <c r="M155" i="5"/>
  <c r="M145" i="5"/>
  <c r="M140" i="5"/>
  <c r="M130" i="5"/>
  <c r="M103" i="5"/>
  <c r="M61" i="5"/>
  <c r="M54" i="5"/>
  <c r="M44" i="5"/>
  <c r="M28" i="5"/>
  <c r="M6" i="5"/>
  <c r="M179" i="5"/>
  <c r="M137" i="5"/>
  <c r="M132" i="5"/>
  <c r="M122" i="5"/>
  <c r="M88" i="5"/>
  <c r="M73" i="5"/>
  <c r="M51" i="5"/>
  <c r="M46" i="5"/>
  <c r="M30" i="5"/>
  <c r="M14" i="5"/>
  <c r="M175" i="5"/>
  <c r="M174" i="5"/>
  <c r="M188" i="5"/>
  <c r="M170" i="5"/>
  <c r="M152" i="5"/>
  <c r="M136" i="5"/>
  <c r="M118" i="5"/>
  <c r="M100" i="5"/>
  <c r="M84" i="5"/>
  <c r="M68" i="5"/>
  <c r="M50" i="5"/>
  <c r="M52" i="5"/>
  <c r="M178" i="5"/>
  <c r="M162" i="5"/>
  <c r="M144" i="5"/>
  <c r="M128" i="5"/>
  <c r="M108" i="5"/>
  <c r="M92" i="5"/>
  <c r="M76" i="5"/>
  <c r="M60" i="5"/>
  <c r="M110" i="5"/>
  <c r="M94" i="5"/>
  <c r="M78" i="5"/>
  <c r="M62" i="5"/>
  <c r="M112" i="5"/>
  <c r="M96" i="5"/>
  <c r="M80" i="5"/>
  <c r="M64" i="5"/>
  <c r="N201" i="5"/>
  <c r="M201" i="5" l="1"/>
  <c r="M4" i="5" l="1"/>
  <c r="F2" i="3"/>
  <c r="H2" i="3" s="1"/>
  <c r="M2" i="3" l="1"/>
  <c r="F4" i="3"/>
  <c r="M4" i="3" s="1"/>
  <c r="F3" i="3"/>
  <c r="M3" i="3" s="1"/>
  <c r="O3" i="3" l="1"/>
  <c r="N3" i="3"/>
  <c r="N4" i="3"/>
  <c r="O4" i="3"/>
  <c r="N2" i="3"/>
  <c r="O2" i="3"/>
  <c r="H4" i="3"/>
  <c r="K4" i="3" s="1"/>
  <c r="H3" i="3"/>
  <c r="J4" i="3" l="1"/>
  <c r="G4" i="3"/>
  <c r="I4" i="3"/>
  <c r="J3" i="3"/>
  <c r="K3" i="3"/>
  <c r="G3" i="3"/>
  <c r="I3" i="3"/>
  <c r="K2" i="3" l="1"/>
  <c r="G2" i="3" l="1"/>
  <c r="J2" i="3"/>
  <c r="I2" i="3"/>
</calcChain>
</file>

<file path=xl/comments1.xml><?xml version="1.0" encoding="utf-8"?>
<comments xmlns="http://schemas.openxmlformats.org/spreadsheetml/2006/main">
  <authors>
    <author>Author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Bought but did't sell yet.</t>
        </r>
      </text>
    </comment>
  </commentList>
</comments>
</file>

<file path=xl/sharedStrings.xml><?xml version="1.0" encoding="utf-8"?>
<sst xmlns="http://schemas.openxmlformats.org/spreadsheetml/2006/main" count="286" uniqueCount="51">
  <si>
    <t>Buy Cost</t>
  </si>
  <si>
    <t>Sell Cost</t>
  </si>
  <si>
    <t>Profit</t>
  </si>
  <si>
    <t>Commission</t>
  </si>
  <si>
    <t>Symbol</t>
  </si>
  <si>
    <t>Qty.</t>
  </si>
  <si>
    <t>Buy Price</t>
  </si>
  <si>
    <t>Sell Price</t>
  </si>
  <si>
    <t>Date</t>
  </si>
  <si>
    <t>HGU</t>
  </si>
  <si>
    <t>Diff Rate</t>
  </si>
  <si>
    <t>Rate</t>
  </si>
  <si>
    <t>Holiday</t>
  </si>
  <si>
    <t>Total Days</t>
  </si>
  <si>
    <t>Weekend Days</t>
  </si>
  <si>
    <t>Working Days</t>
  </si>
  <si>
    <t>Working Hr.</t>
  </si>
  <si>
    <t>Monthly</t>
  </si>
  <si>
    <t>6 Months</t>
  </si>
  <si>
    <t>3 Months</t>
  </si>
  <si>
    <t>1 Year</t>
  </si>
  <si>
    <t>407 expense(1 Year)</t>
  </si>
  <si>
    <t>407 expense(6 Year)</t>
  </si>
  <si>
    <t>407 expense(3 Year)</t>
  </si>
  <si>
    <t>4 Month</t>
  </si>
  <si>
    <t>Diff</t>
  </si>
  <si>
    <t>HNU</t>
  </si>
  <si>
    <t>HOU</t>
  </si>
  <si>
    <t>HND</t>
  </si>
  <si>
    <t>Source</t>
  </si>
  <si>
    <t>BNS</t>
  </si>
  <si>
    <t>BNS-TFSA</t>
  </si>
  <si>
    <t>TD-TFSA</t>
  </si>
  <si>
    <t>JNUG</t>
  </si>
  <si>
    <t>JMUG</t>
  </si>
  <si>
    <t>NHD</t>
  </si>
  <si>
    <t>IMG</t>
  </si>
  <si>
    <t>BLDP - BNSTFSA</t>
  </si>
  <si>
    <t>Free BNSUS</t>
  </si>
  <si>
    <t>Gevo - BNS US</t>
  </si>
  <si>
    <t>IAG</t>
  </si>
  <si>
    <t>UGAZ</t>
  </si>
  <si>
    <t>GEVO</t>
  </si>
  <si>
    <t>UWTI</t>
  </si>
  <si>
    <t>AccoutType</t>
  </si>
  <si>
    <t>BNS-CAN</t>
  </si>
  <si>
    <t>BNS-US</t>
  </si>
  <si>
    <t>Buy</t>
  </si>
  <si>
    <t>Sell</t>
  </si>
  <si>
    <t>Fx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</si>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</sst>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</patternFill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</cellStyleXfs>
  <cellXfs count="49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2" borderId="0" xfId="0" applyFont="1" applyFill="1" applyBorder="1" applyAlignment="1">
      <alignment horizontal="left"/>
    </xf>
    <xf numFmtId="0" fontId="0" fillId="0" borderId="0" xfId="0" applyFill="1"/>
    <xf numFmtId="0" fontId="2" fillId="0" borderId="0" xfId="0" applyFont="1"/>
    <xf numFmtId="44" fontId="0" fillId="0" borderId="1" xfId="1" applyFont="1" applyFill="1" applyBorder="1"/>
    <xf numFmtId="44" fontId="2" fillId="0" borderId="0" xfId="1" applyFont="1"/>
    <xf numFmtId="2" fontId="0" fillId="0" borderId="0" xfId="0" applyNumberFormat="1"/>
    <xf numFmtId="2" fontId="2" fillId="0" borderId="0" xfId="0" applyNumberFormat="1" applyFont="1"/>
    <xf numFmtId="44" fontId="0" fillId="3" borderId="0" xfId="0" applyNumberFormat="1" applyFill="1"/>
    <xf numFmtId="44" fontId="0" fillId="3" borderId="0" xfId="1" applyFont="1" applyFill="1"/>
    <xf numFmtId="0" fontId="0" fillId="3" borderId="0" xfId="0" applyFill="1"/>
    <xf numFmtId="0" fontId="5" fillId="3" borderId="0" xfId="0" applyFont="1" applyFill="1"/>
    <xf numFmtId="0" fontId="3" fillId="2" borderId="0" xfId="0" applyFont="1" applyFill="1" applyBorder="1" applyAlignment="1">
      <alignment horizontal="left"/>
    </xf>
    <xf numFmtId="0" fontId="4" fillId="0" borderId="0" xfId="0" applyFont="1" applyFill="1"/>
    <xf numFmtId="164" fontId="3" fillId="2" borderId="0" xfId="1" applyNumberFormat="1" applyFont="1" applyFill="1" applyBorder="1" applyAlignment="1">
      <alignment horizontal="left"/>
    </xf>
    <xf numFmtId="164" fontId="2" fillId="2" borderId="0" xfId="1" applyNumberFormat="1" applyFont="1" applyFill="1" applyBorder="1" applyAlignment="1">
      <alignment horizontal="left"/>
    </xf>
    <xf numFmtId="0" fontId="0" fillId="0" borderId="0" xfId="0" applyAlignment="1">
      <alignment vertical="top" wrapText="1"/>
    </xf>
    <xf numFmtId="16" fontId="4" fillId="0" borderId="1" xfId="0" applyNumberFormat="1" applyFont="1" applyFill="1" applyBorder="1"/>
    <xf numFmtId="16" fontId="0" fillId="0" borderId="1" xfId="0" applyNumberFormat="1" applyFill="1" applyBorder="1"/>
    <xf numFmtId="0" fontId="0" fillId="0" borderId="1" xfId="0" applyFont="1" applyFill="1" applyBorder="1"/>
    <xf numFmtId="0" fontId="4" fillId="0" borderId="1" xfId="0" applyFont="1" applyFill="1" applyBorder="1"/>
    <xf numFmtId="0" fontId="2" fillId="3" borderId="0" xfId="0" applyFont="1" applyFill="1" applyBorder="1" applyAlignment="1">
      <alignment horizontal="left"/>
    </xf>
    <xf numFmtId="44" fontId="2" fillId="3" borderId="0" xfId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44" fontId="2" fillId="3" borderId="0" xfId="1" applyFont="1" applyFill="1" applyBorder="1" applyAlignment="1">
      <alignment horizontal="left"/>
    </xf>
    <xf numFmtId="44" fontId="4" fillId="0" borderId="1" xfId="1" applyFont="1" applyFill="1" applyBorder="1"/>
    <xf numFmtId="44" fontId="6" fillId="4" borderId="0" xfId="2" applyNumberForma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44" fontId="2" fillId="0" borderId="0" xfId="1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horizontal="left"/>
    </xf>
    <xf numFmtId="16" fontId="5" fillId="0" borderId="1" xfId="0" applyNumberFormat="1" applyFont="1" applyFill="1" applyBorder="1"/>
    <xf numFmtId="0" fontId="5" fillId="0" borderId="1" xfId="0" applyFont="1" applyFill="1" applyBorder="1"/>
    <xf numFmtId="44" fontId="5" fillId="0" borderId="1" xfId="1" applyFont="1" applyFill="1" applyBorder="1"/>
    <xf numFmtId="0" fontId="0" fillId="0" borderId="1" xfId="0" applyFill="1" applyBorder="1"/>
    <xf numFmtId="44" fontId="2" fillId="0" borderId="1" xfId="1" applyFont="1" applyFill="1" applyBorder="1" applyAlignment="1">
      <alignment horizontal="center"/>
    </xf>
    <xf numFmtId="164" fontId="0" fillId="0" borderId="1" xfId="1" applyNumberFormat="1" applyFont="1" applyFill="1" applyBorder="1"/>
    <xf numFmtId="164" fontId="5" fillId="0" borderId="1" xfId="1" applyNumberFormat="1" applyFont="1" applyFill="1" applyBorder="1"/>
    <xf numFmtId="164" fontId="4" fillId="0" borderId="1" xfId="1" applyNumberFormat="1" applyFont="1" applyFill="1" applyBorder="1"/>
    <xf numFmtId="44" fontId="1" fillId="0" borderId="1" xfId="1" applyFont="1" applyFill="1" applyBorder="1"/>
    <xf numFmtId="164" fontId="1" fillId="0" borderId="1" xfId="1" applyNumberFormat="1" applyFont="1" applyFill="1" applyBorder="1"/>
    <xf numFmtId="0" fontId="2" fillId="0" borderId="3" xfId="0" applyFont="1" applyFill="1" applyBorder="1" applyAlignment="1">
      <alignment horizontal="left" vertical="top" wrapText="1"/>
    </xf>
    <xf numFmtId="44" fontId="2" fillId="0" borderId="3" xfId="1" applyFont="1" applyFill="1" applyBorder="1" applyAlignment="1">
      <alignment horizontal="left" vertical="top" wrapText="1"/>
    </xf>
    <xf numFmtId="164" fontId="2" fillId="0" borderId="3" xfId="1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6" fillId="5" borderId="4" xfId="3" applyBorder="1" applyAlignment="1">
      <alignment horizontal="left"/>
    </xf>
  </cellXfs>
  <cellStyles count="4">
    <cellStyle name="Accent3" xfId="2" builtinId="37"/>
    <cellStyle name="Accent5" xfId="3" builtinId="45"/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00"/>
  <sheetViews>
    <sheetView tabSelected="1" workbookViewId="0">
      <pane xSplit="14" ySplit="5" topLeftCell="O183" activePane="bottomRight" state="frozen"/>
      <selection pane="topRight" activeCell="Q1" sqref="Q1"/>
      <selection pane="bottomLeft" activeCell="A3" sqref="A3"/>
      <selection pane="bottomRight" activeCell="F8" sqref="F8"/>
    </sheetView>
  </sheetViews>
  <sheetFormatPr defaultRowHeight="15" x14ac:dyDescent="0.25"/>
  <cols>
    <col min="1" max="1" width="7.28515625" style="36" bestFit="1" customWidth="1"/>
    <col min="2" max="2" width="9.5703125" style="36" bestFit="1" customWidth="1"/>
    <col min="3" max="3" width="8.28515625" style="21" bestFit="1" customWidth="1"/>
    <col min="4" max="4" width="5" style="21" bestFit="1" customWidth="1"/>
    <col min="5" max="5" width="10" style="6" bestFit="1" customWidth="1"/>
    <col min="6" max="6" width="12.28515625" style="6" bestFit="1" customWidth="1"/>
    <col min="7" max="7" width="9" style="38" bestFit="1" customWidth="1"/>
    <col min="8" max="8" width="9.5703125" style="6" bestFit="1" customWidth="1"/>
    <col min="9" max="9" width="12.28515625" style="6" bestFit="1" customWidth="1"/>
    <col min="10" max="10" width="9" style="38" bestFit="1" customWidth="1"/>
    <col min="11" max="12" width="11.5703125" style="12" bestFit="1" customWidth="1"/>
    <col min="13" max="13" width="10.5703125" style="11" bestFit="1" customWidth="1"/>
    <col min="14" max="14" width="8.7109375" style="12" bestFit="1" customWidth="1"/>
  </cols>
  <sheetData>
    <row r="1" spans="1:14" x14ac:dyDescent="0.25">
      <c r="A1" s="29"/>
      <c r="B1" s="29"/>
      <c r="C1" s="48" t="s">
        <v>50</v>
      </c>
      <c r="D1" s="30"/>
      <c r="E1" s="31"/>
      <c r="F1" s="31"/>
      <c r="G1" s="32"/>
      <c r="H1" s="31"/>
      <c r="I1" s="31"/>
      <c r="J1" s="32"/>
      <c r="K1" s="23"/>
      <c r="L1" s="23"/>
      <c r="M1" s="26"/>
      <c r="N1" s="23"/>
    </row>
    <row r="2" spans="1:14" x14ac:dyDescent="0.25">
      <c r="A2" s="29"/>
      <c r="B2" s="29"/>
      <c r="C2" s="30"/>
      <c r="D2" s="30"/>
      <c r="E2" s="31"/>
      <c r="F2" s="31"/>
      <c r="G2" s="32"/>
      <c r="H2" s="31"/>
      <c r="I2" s="31"/>
      <c r="J2" s="32"/>
      <c r="K2" s="23"/>
      <c r="L2" s="23"/>
      <c r="M2" s="26"/>
      <c r="N2" s="23"/>
    </row>
    <row r="3" spans="1:14" x14ac:dyDescent="0.25">
      <c r="A3" s="29"/>
      <c r="B3" s="29"/>
      <c r="C3" s="30"/>
      <c r="D3" s="30"/>
      <c r="E3" s="31"/>
      <c r="F3" s="31"/>
      <c r="G3" s="32"/>
      <c r="H3" s="31"/>
      <c r="I3" s="31"/>
      <c r="J3" s="32"/>
      <c r="K3" s="23"/>
      <c r="L3" s="23"/>
      <c r="M3" s="26"/>
      <c r="N3" s="23"/>
    </row>
    <row r="4" spans="1:14" x14ac:dyDescent="0.25">
      <c r="A4" s="46"/>
      <c r="B4" s="46"/>
      <c r="C4" s="47"/>
      <c r="D4" s="47"/>
      <c r="E4" s="37" t="s">
        <v>47</v>
      </c>
      <c r="F4" s="37"/>
      <c r="G4" s="37"/>
      <c r="H4" s="37" t="s">
        <v>48</v>
      </c>
      <c r="I4" s="37"/>
      <c r="J4" s="37"/>
      <c r="K4" s="23"/>
      <c r="L4" s="23"/>
      <c r="M4" s="28">
        <f>SUM(M6:M271)</f>
        <v>6757.6913480000749</v>
      </c>
      <c r="N4" s="23"/>
    </row>
    <row r="5" spans="1:14" s="18" customFormat="1" x14ac:dyDescent="0.25">
      <c r="A5" s="43" t="s">
        <v>8</v>
      </c>
      <c r="B5" s="43" t="s">
        <v>29</v>
      </c>
      <c r="C5" s="43" t="s">
        <v>4</v>
      </c>
      <c r="D5" s="43" t="s">
        <v>5</v>
      </c>
      <c r="E5" s="44" t="s">
        <v>6</v>
      </c>
      <c r="F5" s="44" t="s">
        <v>3</v>
      </c>
      <c r="G5" s="45" t="s">
        <v>49</v>
      </c>
      <c r="H5" s="44" t="s">
        <v>7</v>
      </c>
      <c r="I5" s="44" t="s">
        <v>3</v>
      </c>
      <c r="J5" s="45" t="s">
        <v>49</v>
      </c>
      <c r="K5" s="24" t="s">
        <v>0</v>
      </c>
      <c r="L5" s="25" t="s">
        <v>1</v>
      </c>
      <c r="M5" s="24" t="s">
        <v>2</v>
      </c>
      <c r="N5" s="25" t="s">
        <v>10</v>
      </c>
    </row>
    <row r="6" spans="1:14" s="12" customFormat="1" x14ac:dyDescent="0.25">
      <c r="A6" s="20">
        <v>41950</v>
      </c>
      <c r="B6" s="20" t="s">
        <v>30</v>
      </c>
      <c r="C6" s="21" t="s">
        <v>26</v>
      </c>
      <c r="D6" s="21">
        <v>1000</v>
      </c>
      <c r="E6" s="6">
        <v>12.9</v>
      </c>
      <c r="F6" s="6">
        <v>9.99</v>
      </c>
      <c r="G6" s="38"/>
      <c r="H6" s="6">
        <v>13.02</v>
      </c>
      <c r="I6" s="6">
        <v>9.99</v>
      </c>
      <c r="J6" s="38"/>
      <c r="K6" s="11">
        <f t="shared" ref="K6:K69" si="0">IF(D6&gt;0,IF(G6&gt;0,((D6*E6)+F6)*G6,(D6*E6)+F6),0)</f>
        <v>12909.99</v>
      </c>
      <c r="L6" s="10">
        <f t="shared" ref="L6:L69" si="1">IF(H6&gt;0,IF(J6&gt;0,((D6*H6)-I6)*J6,(D6*H6)-I6),0)</f>
        <v>13010.01</v>
      </c>
      <c r="M6" s="11">
        <f t="shared" ref="M6:M69" si="2">IF(H6&gt;0,L6-K6,0)</f>
        <v>100.02000000000044</v>
      </c>
      <c r="N6" s="10">
        <f t="shared" ref="N6:N69" si="3">IF(H6&gt;0,H6-E6,0)</f>
        <v>0.11999999999999922</v>
      </c>
    </row>
    <row r="7" spans="1:14" s="12" customFormat="1" x14ac:dyDescent="0.25">
      <c r="A7" s="20">
        <v>41950</v>
      </c>
      <c r="B7" s="20" t="s">
        <v>30</v>
      </c>
      <c r="C7" s="21" t="s">
        <v>26</v>
      </c>
      <c r="D7" s="21">
        <v>1000</v>
      </c>
      <c r="E7" s="6">
        <v>13.3</v>
      </c>
      <c r="F7" s="6">
        <v>9.99</v>
      </c>
      <c r="G7" s="38"/>
      <c r="H7" s="6"/>
      <c r="I7" s="6">
        <v>9.99</v>
      </c>
      <c r="J7" s="38"/>
      <c r="K7" s="11">
        <f t="shared" si="0"/>
        <v>13309.99</v>
      </c>
      <c r="L7" s="10">
        <f t="shared" si="1"/>
        <v>0</v>
      </c>
      <c r="M7" s="11">
        <f t="shared" si="2"/>
        <v>0</v>
      </c>
      <c r="N7" s="10">
        <f t="shared" si="3"/>
        <v>0</v>
      </c>
    </row>
    <row r="8" spans="1:14" s="13" customFormat="1" x14ac:dyDescent="0.25">
      <c r="A8" s="33">
        <v>41955</v>
      </c>
      <c r="B8" s="33" t="s">
        <v>31</v>
      </c>
      <c r="C8" s="34" t="s">
        <v>26</v>
      </c>
      <c r="D8" s="34">
        <v>1000</v>
      </c>
      <c r="E8" s="35">
        <v>12.83</v>
      </c>
      <c r="F8" s="35">
        <v>9.99</v>
      </c>
      <c r="G8" s="39"/>
      <c r="H8" s="35"/>
      <c r="I8" s="35">
        <v>9.99</v>
      </c>
      <c r="J8" s="39"/>
      <c r="K8" s="11">
        <f t="shared" si="0"/>
        <v>12839.99</v>
      </c>
      <c r="L8" s="10">
        <f t="shared" si="1"/>
        <v>0</v>
      </c>
      <c r="M8" s="11">
        <f t="shared" si="2"/>
        <v>0</v>
      </c>
      <c r="N8" s="10">
        <f t="shared" si="3"/>
        <v>0</v>
      </c>
    </row>
    <row r="9" spans="1:14" s="12" customFormat="1" x14ac:dyDescent="0.25">
      <c r="A9" s="20"/>
      <c r="B9" s="20" t="s">
        <v>32</v>
      </c>
      <c r="C9" s="21" t="s">
        <v>26</v>
      </c>
      <c r="D9" s="21">
        <v>800</v>
      </c>
      <c r="E9" s="6">
        <v>12.15</v>
      </c>
      <c r="F9" s="6">
        <v>9.99</v>
      </c>
      <c r="G9" s="38"/>
      <c r="H9" s="6"/>
      <c r="I9" s="6">
        <v>9.99</v>
      </c>
      <c r="J9" s="38"/>
      <c r="K9" s="11">
        <f t="shared" si="0"/>
        <v>9729.99</v>
      </c>
      <c r="L9" s="10">
        <f t="shared" si="1"/>
        <v>0</v>
      </c>
      <c r="M9" s="11">
        <f t="shared" si="2"/>
        <v>0</v>
      </c>
      <c r="N9" s="10">
        <f t="shared" si="3"/>
        <v>0</v>
      </c>
    </row>
    <row r="10" spans="1:14" s="12" customFormat="1" x14ac:dyDescent="0.25">
      <c r="A10" s="20">
        <v>41974</v>
      </c>
      <c r="B10" s="20"/>
      <c r="C10" s="21" t="s">
        <v>26</v>
      </c>
      <c r="D10" s="21">
        <v>1000</v>
      </c>
      <c r="E10" s="6">
        <v>12.44</v>
      </c>
      <c r="F10" s="6">
        <v>4.99</v>
      </c>
      <c r="G10" s="38"/>
      <c r="H10" s="6"/>
      <c r="I10" s="6">
        <v>4.99</v>
      </c>
      <c r="J10" s="38"/>
      <c r="K10" s="11">
        <f t="shared" si="0"/>
        <v>12444.99</v>
      </c>
      <c r="L10" s="10">
        <f t="shared" si="1"/>
        <v>0</v>
      </c>
      <c r="M10" s="11">
        <f t="shared" si="2"/>
        <v>0</v>
      </c>
      <c r="N10" s="10">
        <f t="shared" si="3"/>
        <v>0</v>
      </c>
    </row>
    <row r="11" spans="1:14" s="12" customFormat="1" x14ac:dyDescent="0.25">
      <c r="A11" s="20"/>
      <c r="B11" s="20"/>
      <c r="C11" s="21" t="s">
        <v>26</v>
      </c>
      <c r="D11" s="21">
        <v>1000</v>
      </c>
      <c r="E11" s="6">
        <v>12.42</v>
      </c>
      <c r="F11" s="6">
        <v>4.99</v>
      </c>
      <c r="G11" s="38"/>
      <c r="H11" s="6"/>
      <c r="I11" s="6">
        <v>4.99</v>
      </c>
      <c r="J11" s="38"/>
      <c r="K11" s="11">
        <f t="shared" si="0"/>
        <v>12424.99</v>
      </c>
      <c r="L11" s="10">
        <f t="shared" si="1"/>
        <v>0</v>
      </c>
      <c r="M11" s="11">
        <f t="shared" si="2"/>
        <v>0</v>
      </c>
      <c r="N11" s="10">
        <f t="shared" si="3"/>
        <v>0</v>
      </c>
    </row>
    <row r="12" spans="1:14" s="12" customFormat="1" x14ac:dyDescent="0.25">
      <c r="A12" s="20"/>
      <c r="B12" s="20"/>
      <c r="C12" s="21" t="s">
        <v>26</v>
      </c>
      <c r="D12" s="21">
        <v>1000</v>
      </c>
      <c r="E12" s="6">
        <v>11.9</v>
      </c>
      <c r="F12" s="6">
        <v>4.99</v>
      </c>
      <c r="G12" s="38"/>
      <c r="H12" s="6"/>
      <c r="I12" s="6">
        <v>4.99</v>
      </c>
      <c r="J12" s="38"/>
      <c r="K12" s="11">
        <f t="shared" si="0"/>
        <v>11904.99</v>
      </c>
      <c r="L12" s="10">
        <f t="shared" si="1"/>
        <v>0</v>
      </c>
      <c r="M12" s="11">
        <f t="shared" si="2"/>
        <v>0</v>
      </c>
      <c r="N12" s="10">
        <f t="shared" si="3"/>
        <v>0</v>
      </c>
    </row>
    <row r="13" spans="1:14" x14ac:dyDescent="0.25">
      <c r="A13" s="20">
        <v>41975</v>
      </c>
      <c r="B13" s="20"/>
      <c r="C13" s="21" t="s">
        <v>26</v>
      </c>
      <c r="D13" s="21">
        <v>1000</v>
      </c>
      <c r="E13" s="6">
        <v>9.61</v>
      </c>
      <c r="F13" s="6">
        <v>4.99</v>
      </c>
      <c r="H13" s="6">
        <v>9.7100000000000009</v>
      </c>
      <c r="I13" s="6">
        <v>4.99</v>
      </c>
      <c r="K13" s="11">
        <f t="shared" si="0"/>
        <v>9614.99</v>
      </c>
      <c r="L13" s="10">
        <f t="shared" si="1"/>
        <v>9705.01</v>
      </c>
      <c r="M13" s="11">
        <f t="shared" si="2"/>
        <v>90.020000000000437</v>
      </c>
      <c r="N13" s="10">
        <f t="shared" si="3"/>
        <v>0.10000000000000142</v>
      </c>
    </row>
    <row r="14" spans="1:14" x14ac:dyDescent="0.25">
      <c r="A14" s="20"/>
      <c r="B14" s="20"/>
      <c r="C14" s="21" t="s">
        <v>33</v>
      </c>
      <c r="D14" s="21">
        <v>2000</v>
      </c>
      <c r="E14" s="6">
        <v>3.78</v>
      </c>
      <c r="F14" s="6">
        <v>4.99</v>
      </c>
      <c r="H14" s="6">
        <v>3.52</v>
      </c>
      <c r="I14" s="6">
        <v>4.99</v>
      </c>
      <c r="K14" s="11">
        <f t="shared" si="0"/>
        <v>7564.99</v>
      </c>
      <c r="L14" s="10">
        <f t="shared" si="1"/>
        <v>7035.01</v>
      </c>
      <c r="M14" s="11">
        <f t="shared" si="2"/>
        <v>-529.97999999999956</v>
      </c>
      <c r="N14" s="10">
        <f t="shared" si="3"/>
        <v>-0.25999999999999979</v>
      </c>
    </row>
    <row r="15" spans="1:14" x14ac:dyDescent="0.25">
      <c r="A15" s="20"/>
      <c r="B15" s="20"/>
      <c r="C15" s="21" t="s">
        <v>33</v>
      </c>
      <c r="D15" s="21">
        <v>1000</v>
      </c>
      <c r="E15" s="6">
        <v>3.45</v>
      </c>
      <c r="F15" s="6">
        <v>4.99</v>
      </c>
      <c r="H15" s="6">
        <v>3.46</v>
      </c>
      <c r="I15" s="6">
        <v>4.99</v>
      </c>
      <c r="K15" s="11">
        <f t="shared" si="0"/>
        <v>3454.99</v>
      </c>
      <c r="L15" s="10">
        <f t="shared" si="1"/>
        <v>3455.01</v>
      </c>
      <c r="M15" s="11">
        <f t="shared" si="2"/>
        <v>2.0000000000436557E-2</v>
      </c>
      <c r="N15" s="10">
        <f t="shared" si="3"/>
        <v>9.9999999999997868E-3</v>
      </c>
    </row>
    <row r="16" spans="1:14" x14ac:dyDescent="0.25">
      <c r="A16" s="20">
        <v>41976</v>
      </c>
      <c r="B16" s="20"/>
      <c r="C16" s="21" t="s">
        <v>33</v>
      </c>
      <c r="D16" s="21">
        <v>1000</v>
      </c>
      <c r="E16" s="6">
        <v>3.75</v>
      </c>
      <c r="F16" s="6">
        <v>4.99</v>
      </c>
      <c r="H16" s="6">
        <v>3.78</v>
      </c>
      <c r="I16" s="6">
        <v>4.99</v>
      </c>
      <c r="K16" s="11">
        <f t="shared" si="0"/>
        <v>3754.99</v>
      </c>
      <c r="L16" s="10">
        <f t="shared" si="1"/>
        <v>3775.01</v>
      </c>
      <c r="M16" s="11">
        <f t="shared" si="2"/>
        <v>20.020000000000437</v>
      </c>
      <c r="N16" s="10">
        <f t="shared" si="3"/>
        <v>2.9999999999999805E-2</v>
      </c>
    </row>
    <row r="17" spans="1:14" x14ac:dyDescent="0.25">
      <c r="A17" s="20"/>
      <c r="B17" s="20"/>
      <c r="C17" s="21" t="s">
        <v>33</v>
      </c>
      <c r="D17" s="21">
        <v>1000</v>
      </c>
      <c r="E17" s="6">
        <v>3.94</v>
      </c>
      <c r="F17" s="6">
        <v>4.99</v>
      </c>
      <c r="H17" s="6">
        <v>3.99</v>
      </c>
      <c r="I17" s="6">
        <v>4.99</v>
      </c>
      <c r="K17" s="11">
        <f t="shared" si="0"/>
        <v>3944.99</v>
      </c>
      <c r="L17" s="10">
        <f t="shared" si="1"/>
        <v>3985.01</v>
      </c>
      <c r="M17" s="11">
        <f t="shared" si="2"/>
        <v>40.020000000000437</v>
      </c>
      <c r="N17" s="10">
        <f t="shared" si="3"/>
        <v>5.0000000000000266E-2</v>
      </c>
    </row>
    <row r="18" spans="1:14" x14ac:dyDescent="0.25">
      <c r="A18" s="20"/>
      <c r="B18" s="20"/>
      <c r="C18" s="21" t="s">
        <v>33</v>
      </c>
      <c r="D18" s="21">
        <v>1000</v>
      </c>
      <c r="E18" s="6">
        <v>3.98</v>
      </c>
      <c r="F18" s="6">
        <v>4.99</v>
      </c>
      <c r="H18" s="6">
        <v>4.07</v>
      </c>
      <c r="I18" s="6">
        <v>4.99</v>
      </c>
      <c r="K18" s="11">
        <f t="shared" si="0"/>
        <v>3984.99</v>
      </c>
      <c r="L18" s="10">
        <f t="shared" si="1"/>
        <v>4065.0100000000007</v>
      </c>
      <c r="M18" s="11">
        <f t="shared" si="2"/>
        <v>80.020000000000891</v>
      </c>
      <c r="N18" s="10">
        <f t="shared" si="3"/>
        <v>9.0000000000000302E-2</v>
      </c>
    </row>
    <row r="19" spans="1:14" x14ac:dyDescent="0.25">
      <c r="A19" s="20">
        <v>41977</v>
      </c>
      <c r="B19" s="20"/>
      <c r="C19" s="21" t="s">
        <v>34</v>
      </c>
      <c r="D19" s="21">
        <v>1000</v>
      </c>
      <c r="E19" s="6">
        <v>3.75</v>
      </c>
      <c r="F19" s="6">
        <v>4.99</v>
      </c>
      <c r="H19" s="6">
        <v>3.81</v>
      </c>
      <c r="I19" s="6">
        <v>4.99</v>
      </c>
      <c r="K19" s="11">
        <f t="shared" si="0"/>
        <v>3754.99</v>
      </c>
      <c r="L19" s="10">
        <f t="shared" si="1"/>
        <v>3805.01</v>
      </c>
      <c r="M19" s="11">
        <f t="shared" si="2"/>
        <v>50.020000000000437</v>
      </c>
      <c r="N19" s="10">
        <f t="shared" si="3"/>
        <v>6.0000000000000053E-2</v>
      </c>
    </row>
    <row r="20" spans="1:14" x14ac:dyDescent="0.25">
      <c r="A20" s="20"/>
      <c r="B20" s="20"/>
      <c r="C20" s="21" t="s">
        <v>26</v>
      </c>
      <c r="D20" s="21">
        <v>1000</v>
      </c>
      <c r="E20" s="6">
        <v>8.3800000000000008</v>
      </c>
      <c r="F20" s="6">
        <v>4.99</v>
      </c>
      <c r="H20" s="6">
        <v>8.44</v>
      </c>
      <c r="I20" s="6">
        <v>4.99</v>
      </c>
      <c r="K20" s="11">
        <f t="shared" si="0"/>
        <v>8384.99</v>
      </c>
      <c r="L20" s="10">
        <f t="shared" si="1"/>
        <v>8435.01</v>
      </c>
      <c r="M20" s="11">
        <f t="shared" si="2"/>
        <v>50.020000000000437</v>
      </c>
      <c r="N20" s="10">
        <f t="shared" si="3"/>
        <v>5.9999999999998721E-2</v>
      </c>
    </row>
    <row r="21" spans="1:14" x14ac:dyDescent="0.25">
      <c r="A21" s="20"/>
      <c r="B21" s="20"/>
      <c r="C21" s="21" t="s">
        <v>26</v>
      </c>
      <c r="D21" s="21">
        <v>1000</v>
      </c>
      <c r="E21" s="6">
        <v>8.33</v>
      </c>
      <c r="F21" s="6">
        <v>4.99</v>
      </c>
      <c r="H21" s="6">
        <v>8.42</v>
      </c>
      <c r="I21" s="6">
        <v>4.99</v>
      </c>
      <c r="K21" s="11">
        <f t="shared" si="0"/>
        <v>8334.99</v>
      </c>
      <c r="L21" s="10">
        <f t="shared" si="1"/>
        <v>8415.01</v>
      </c>
      <c r="M21" s="11">
        <f t="shared" si="2"/>
        <v>80.020000000000437</v>
      </c>
      <c r="N21" s="10">
        <f t="shared" si="3"/>
        <v>8.9999999999999858E-2</v>
      </c>
    </row>
    <row r="22" spans="1:14" x14ac:dyDescent="0.25">
      <c r="A22" s="20"/>
      <c r="B22" s="20"/>
      <c r="C22" s="21" t="s">
        <v>34</v>
      </c>
      <c r="D22" s="21">
        <v>1500</v>
      </c>
      <c r="E22" s="6">
        <v>3.41</v>
      </c>
      <c r="F22" s="6">
        <v>4.99</v>
      </c>
      <c r="H22" s="6">
        <v>3.42</v>
      </c>
      <c r="I22" s="6">
        <v>4.99</v>
      </c>
      <c r="K22" s="11">
        <f t="shared" si="0"/>
        <v>5119.99</v>
      </c>
      <c r="L22" s="10">
        <f t="shared" si="1"/>
        <v>5125.01</v>
      </c>
      <c r="M22" s="11">
        <f t="shared" si="2"/>
        <v>5.0200000000004366</v>
      </c>
      <c r="N22" s="10">
        <f t="shared" si="3"/>
        <v>9.9999999999997868E-3</v>
      </c>
    </row>
    <row r="23" spans="1:14" x14ac:dyDescent="0.25">
      <c r="A23" s="20">
        <v>41978</v>
      </c>
      <c r="B23" s="20"/>
      <c r="C23" s="21" t="s">
        <v>26</v>
      </c>
      <c r="D23" s="21">
        <v>1000</v>
      </c>
      <c r="E23" s="6">
        <v>8.32</v>
      </c>
      <c r="F23" s="6">
        <v>4.99</v>
      </c>
      <c r="H23" s="6">
        <v>8.64</v>
      </c>
      <c r="I23" s="6">
        <v>4.99</v>
      </c>
      <c r="K23" s="11">
        <f t="shared" si="0"/>
        <v>8324.99</v>
      </c>
      <c r="L23" s="10">
        <f t="shared" si="1"/>
        <v>8635.01</v>
      </c>
      <c r="M23" s="11">
        <f t="shared" si="2"/>
        <v>310.02000000000044</v>
      </c>
      <c r="N23" s="10">
        <f t="shared" si="3"/>
        <v>0.32000000000000028</v>
      </c>
    </row>
    <row r="24" spans="1:14" x14ac:dyDescent="0.25">
      <c r="A24" s="20"/>
      <c r="B24" s="20"/>
      <c r="C24" s="21" t="s">
        <v>26</v>
      </c>
      <c r="D24" s="21">
        <v>1000</v>
      </c>
      <c r="E24" s="6">
        <v>8.8800000000000008</v>
      </c>
      <c r="F24" s="6">
        <v>4.99</v>
      </c>
      <c r="H24" s="6">
        <v>8.9600000000000009</v>
      </c>
      <c r="I24" s="6">
        <v>4.99</v>
      </c>
      <c r="K24" s="11">
        <f t="shared" si="0"/>
        <v>8884.99</v>
      </c>
      <c r="L24" s="10">
        <f t="shared" si="1"/>
        <v>8955.01</v>
      </c>
      <c r="M24" s="11">
        <f t="shared" si="2"/>
        <v>70.020000000000437</v>
      </c>
      <c r="N24" s="10">
        <f t="shared" si="3"/>
        <v>8.0000000000000071E-2</v>
      </c>
    </row>
    <row r="25" spans="1:14" x14ac:dyDescent="0.25">
      <c r="A25" s="20"/>
      <c r="B25" s="20"/>
      <c r="C25" s="21" t="s">
        <v>26</v>
      </c>
      <c r="D25" s="21">
        <v>1000</v>
      </c>
      <c r="E25" s="6">
        <v>8.99</v>
      </c>
      <c r="F25" s="6">
        <v>4.99</v>
      </c>
      <c r="H25" s="6">
        <v>9</v>
      </c>
      <c r="I25" s="6">
        <v>4.99</v>
      </c>
      <c r="K25" s="11">
        <f t="shared" si="0"/>
        <v>8994.99</v>
      </c>
      <c r="L25" s="10">
        <f t="shared" si="1"/>
        <v>8995.01</v>
      </c>
      <c r="M25" s="11">
        <f t="shared" si="2"/>
        <v>2.0000000000436557E-2</v>
      </c>
      <c r="N25" s="10">
        <f t="shared" si="3"/>
        <v>9.9999999999997868E-3</v>
      </c>
    </row>
    <row r="26" spans="1:14" x14ac:dyDescent="0.25">
      <c r="A26" s="20"/>
      <c r="B26" s="20"/>
      <c r="C26" s="21" t="s">
        <v>26</v>
      </c>
      <c r="D26" s="21">
        <v>1000</v>
      </c>
      <c r="E26" s="6">
        <v>8.9499999999999993</v>
      </c>
      <c r="F26" s="6">
        <v>4.99</v>
      </c>
      <c r="H26" s="6">
        <v>9</v>
      </c>
      <c r="I26" s="6">
        <v>4.99</v>
      </c>
      <c r="K26" s="11">
        <f t="shared" si="0"/>
        <v>8954.99</v>
      </c>
      <c r="L26" s="10">
        <f t="shared" si="1"/>
        <v>8995.01</v>
      </c>
      <c r="M26" s="11">
        <f t="shared" si="2"/>
        <v>40.020000000000437</v>
      </c>
      <c r="N26" s="10">
        <f t="shared" si="3"/>
        <v>5.0000000000000711E-2</v>
      </c>
    </row>
    <row r="27" spans="1:14" x14ac:dyDescent="0.25">
      <c r="A27" s="20"/>
      <c r="B27" s="20"/>
      <c r="C27" s="21" t="s">
        <v>28</v>
      </c>
      <c r="D27" s="21">
        <v>1000</v>
      </c>
      <c r="E27" s="6">
        <v>7.43</v>
      </c>
      <c r="F27" s="6">
        <v>4.99</v>
      </c>
      <c r="H27" s="6">
        <v>7.18</v>
      </c>
      <c r="I27" s="6">
        <v>4.99</v>
      </c>
      <c r="K27" s="11">
        <f t="shared" si="0"/>
        <v>7434.99</v>
      </c>
      <c r="L27" s="10">
        <f t="shared" si="1"/>
        <v>7175.01</v>
      </c>
      <c r="M27" s="11">
        <f t="shared" si="2"/>
        <v>-259.97999999999956</v>
      </c>
      <c r="N27" s="10">
        <f t="shared" si="3"/>
        <v>-0.25</v>
      </c>
    </row>
    <row r="28" spans="1:14" x14ac:dyDescent="0.25">
      <c r="A28" s="20"/>
      <c r="B28" s="20"/>
      <c r="C28" s="21" t="s">
        <v>28</v>
      </c>
      <c r="D28" s="21">
        <v>1000</v>
      </c>
      <c r="E28" s="6">
        <v>7.01</v>
      </c>
      <c r="F28" s="6">
        <v>4.99</v>
      </c>
      <c r="H28" s="6">
        <v>7.07</v>
      </c>
      <c r="I28" s="6">
        <v>4.99</v>
      </c>
      <c r="K28" s="11">
        <f t="shared" si="0"/>
        <v>7014.99</v>
      </c>
      <c r="L28" s="10">
        <f t="shared" si="1"/>
        <v>7065.01</v>
      </c>
      <c r="M28" s="11">
        <f t="shared" si="2"/>
        <v>50.020000000000437</v>
      </c>
      <c r="N28" s="10">
        <f t="shared" si="3"/>
        <v>6.0000000000000497E-2</v>
      </c>
    </row>
    <row r="29" spans="1:14" x14ac:dyDescent="0.25">
      <c r="A29" s="20"/>
      <c r="B29" s="20"/>
      <c r="C29" s="21" t="s">
        <v>33</v>
      </c>
      <c r="D29" s="21">
        <v>1000</v>
      </c>
      <c r="E29" s="6">
        <v>3.05</v>
      </c>
      <c r="F29" s="6">
        <v>4.99</v>
      </c>
      <c r="H29" s="6">
        <v>3.12</v>
      </c>
      <c r="I29" s="6">
        <v>4.99</v>
      </c>
      <c r="K29" s="11">
        <f t="shared" si="0"/>
        <v>3054.99</v>
      </c>
      <c r="L29" s="10">
        <f t="shared" si="1"/>
        <v>3115.01</v>
      </c>
      <c r="M29" s="11">
        <f t="shared" si="2"/>
        <v>60.020000000000437</v>
      </c>
      <c r="N29" s="10">
        <f t="shared" si="3"/>
        <v>7.0000000000000284E-2</v>
      </c>
    </row>
    <row r="30" spans="1:14" x14ac:dyDescent="0.25">
      <c r="A30" s="20"/>
      <c r="B30" s="20"/>
      <c r="C30" s="21" t="s">
        <v>33</v>
      </c>
      <c r="D30" s="21">
        <v>1500</v>
      </c>
      <c r="E30" s="6">
        <v>3.07</v>
      </c>
      <c r="F30" s="6">
        <v>4.99</v>
      </c>
      <c r="H30" s="6">
        <v>3.11</v>
      </c>
      <c r="I30" s="6">
        <v>4.99</v>
      </c>
      <c r="K30" s="11">
        <f t="shared" si="0"/>
        <v>4609.99</v>
      </c>
      <c r="L30" s="10">
        <f t="shared" si="1"/>
        <v>4660.01</v>
      </c>
      <c r="M30" s="11">
        <f t="shared" si="2"/>
        <v>50.020000000000437</v>
      </c>
      <c r="N30" s="10">
        <f t="shared" si="3"/>
        <v>4.0000000000000036E-2</v>
      </c>
    </row>
    <row r="31" spans="1:14" x14ac:dyDescent="0.25">
      <c r="A31" s="20">
        <v>41979</v>
      </c>
      <c r="B31" s="20"/>
      <c r="C31" s="21" t="s">
        <v>28</v>
      </c>
      <c r="D31" s="21">
        <v>1000</v>
      </c>
      <c r="E31" s="6">
        <v>7.12</v>
      </c>
      <c r="F31" s="6">
        <v>4.99</v>
      </c>
      <c r="H31" s="6">
        <v>7.48</v>
      </c>
      <c r="I31" s="6">
        <v>4.99</v>
      </c>
      <c r="K31" s="11">
        <f t="shared" si="0"/>
        <v>7124.99</v>
      </c>
      <c r="L31" s="10">
        <f t="shared" si="1"/>
        <v>7475.01</v>
      </c>
      <c r="M31" s="11">
        <f t="shared" si="2"/>
        <v>350.02000000000044</v>
      </c>
      <c r="N31" s="10">
        <f t="shared" si="3"/>
        <v>0.36000000000000032</v>
      </c>
    </row>
    <row r="32" spans="1:14" x14ac:dyDescent="0.25">
      <c r="A32" s="20"/>
      <c r="B32" s="20"/>
      <c r="C32" s="21" t="s">
        <v>28</v>
      </c>
      <c r="D32" s="21">
        <v>1000</v>
      </c>
      <c r="E32" s="6">
        <v>7.47</v>
      </c>
      <c r="F32" s="6">
        <v>4.99</v>
      </c>
      <c r="H32" s="6">
        <v>7.61</v>
      </c>
      <c r="I32" s="6">
        <v>4.99</v>
      </c>
      <c r="K32" s="11">
        <f t="shared" si="0"/>
        <v>7474.99</v>
      </c>
      <c r="L32" s="10">
        <f t="shared" si="1"/>
        <v>7605.01</v>
      </c>
      <c r="M32" s="11">
        <f t="shared" si="2"/>
        <v>130.02000000000044</v>
      </c>
      <c r="N32" s="10">
        <f t="shared" si="3"/>
        <v>0.14000000000000057</v>
      </c>
    </row>
    <row r="33" spans="1:14" x14ac:dyDescent="0.25">
      <c r="A33" s="20"/>
      <c r="B33" s="20"/>
      <c r="C33" s="21" t="s">
        <v>26</v>
      </c>
      <c r="D33" s="21">
        <v>1000</v>
      </c>
      <c r="E33" s="6">
        <v>8.27</v>
      </c>
      <c r="F33" s="6">
        <v>4.99</v>
      </c>
      <c r="H33" s="6">
        <v>8.2899999999999991</v>
      </c>
      <c r="I33" s="6">
        <v>4.99</v>
      </c>
      <c r="K33" s="11">
        <f t="shared" si="0"/>
        <v>8274.99</v>
      </c>
      <c r="L33" s="10">
        <f t="shared" si="1"/>
        <v>8285.01</v>
      </c>
      <c r="M33" s="11">
        <f t="shared" si="2"/>
        <v>10.020000000000437</v>
      </c>
      <c r="N33" s="10">
        <f t="shared" si="3"/>
        <v>1.9999999999999574E-2</v>
      </c>
    </row>
    <row r="34" spans="1:14" x14ac:dyDescent="0.25">
      <c r="A34" s="20"/>
      <c r="B34" s="20"/>
      <c r="C34" s="21" t="s">
        <v>33</v>
      </c>
      <c r="D34" s="21">
        <v>1500</v>
      </c>
      <c r="E34" s="6">
        <v>3.05</v>
      </c>
      <c r="F34" s="6">
        <v>4.99</v>
      </c>
      <c r="H34" s="6">
        <v>3.14</v>
      </c>
      <c r="I34" s="6">
        <v>4.99</v>
      </c>
      <c r="K34" s="11">
        <f t="shared" si="0"/>
        <v>4579.99</v>
      </c>
      <c r="L34" s="10">
        <f t="shared" si="1"/>
        <v>4705.01</v>
      </c>
      <c r="M34" s="11">
        <f t="shared" si="2"/>
        <v>125.02000000000044</v>
      </c>
      <c r="N34" s="10">
        <f t="shared" si="3"/>
        <v>9.0000000000000302E-2</v>
      </c>
    </row>
    <row r="35" spans="1:14" x14ac:dyDescent="0.25">
      <c r="A35" s="20">
        <v>41982</v>
      </c>
      <c r="B35" s="20"/>
      <c r="C35" s="21" t="s">
        <v>33</v>
      </c>
      <c r="D35" s="21">
        <v>1500</v>
      </c>
      <c r="E35" s="6">
        <v>3.22</v>
      </c>
      <c r="F35" s="6">
        <v>4.99</v>
      </c>
      <c r="H35" s="6">
        <v>3.61</v>
      </c>
      <c r="I35" s="6">
        <v>4.99</v>
      </c>
      <c r="K35" s="11">
        <f t="shared" si="0"/>
        <v>4834.99</v>
      </c>
      <c r="L35" s="10">
        <f t="shared" si="1"/>
        <v>5410.01</v>
      </c>
      <c r="M35" s="11">
        <f t="shared" si="2"/>
        <v>575.02000000000044</v>
      </c>
      <c r="N35" s="10">
        <f t="shared" si="3"/>
        <v>0.38999999999999968</v>
      </c>
    </row>
    <row r="36" spans="1:14" x14ac:dyDescent="0.25">
      <c r="A36" s="20"/>
      <c r="B36" s="20"/>
      <c r="C36" s="21" t="s">
        <v>26</v>
      </c>
      <c r="D36" s="21">
        <v>1000</v>
      </c>
      <c r="E36" s="6">
        <v>8.17</v>
      </c>
      <c r="F36" s="6">
        <v>4.99</v>
      </c>
      <c r="H36" s="6">
        <v>8.4</v>
      </c>
      <c r="I36" s="6">
        <v>4.99</v>
      </c>
      <c r="K36" s="11">
        <f t="shared" si="0"/>
        <v>8174.99</v>
      </c>
      <c r="L36" s="10">
        <f t="shared" si="1"/>
        <v>8395.01</v>
      </c>
      <c r="M36" s="11">
        <f t="shared" si="2"/>
        <v>220.02000000000044</v>
      </c>
      <c r="N36" s="10">
        <f t="shared" si="3"/>
        <v>0.23000000000000043</v>
      </c>
    </row>
    <row r="37" spans="1:14" x14ac:dyDescent="0.25">
      <c r="A37" s="20"/>
      <c r="B37" s="20"/>
      <c r="C37" s="21" t="s">
        <v>33</v>
      </c>
      <c r="D37" s="21">
        <v>1500</v>
      </c>
      <c r="E37" s="6">
        <v>3.69</v>
      </c>
      <c r="F37" s="6">
        <v>4.99</v>
      </c>
      <c r="H37" s="6">
        <v>3.75</v>
      </c>
      <c r="I37" s="6">
        <v>4.99</v>
      </c>
      <c r="K37" s="11">
        <f t="shared" si="0"/>
        <v>5539.99</v>
      </c>
      <c r="L37" s="10">
        <f t="shared" si="1"/>
        <v>5620.01</v>
      </c>
      <c r="M37" s="11">
        <f t="shared" si="2"/>
        <v>80.020000000000437</v>
      </c>
      <c r="N37" s="10">
        <f t="shared" si="3"/>
        <v>6.0000000000000053E-2</v>
      </c>
    </row>
    <row r="38" spans="1:14" x14ac:dyDescent="0.25">
      <c r="A38" s="20"/>
      <c r="B38" s="20"/>
      <c r="C38" s="21" t="s">
        <v>33</v>
      </c>
      <c r="D38" s="21">
        <v>1500</v>
      </c>
      <c r="E38" s="6">
        <v>3.77</v>
      </c>
      <c r="F38" s="6">
        <v>4.99</v>
      </c>
      <c r="H38" s="6">
        <v>3.69</v>
      </c>
      <c r="I38" s="6">
        <v>4.99</v>
      </c>
      <c r="K38" s="11">
        <f t="shared" si="0"/>
        <v>5659.99</v>
      </c>
      <c r="L38" s="10">
        <f t="shared" si="1"/>
        <v>5530.01</v>
      </c>
      <c r="M38" s="11">
        <f t="shared" si="2"/>
        <v>-129.97999999999956</v>
      </c>
      <c r="N38" s="10">
        <f t="shared" si="3"/>
        <v>-8.0000000000000071E-2</v>
      </c>
    </row>
    <row r="39" spans="1:14" x14ac:dyDescent="0.25">
      <c r="A39" s="20"/>
      <c r="B39" s="20"/>
      <c r="C39" s="21" t="s">
        <v>35</v>
      </c>
      <c r="D39" s="21">
        <v>1000</v>
      </c>
      <c r="E39" s="6">
        <v>7.44</v>
      </c>
      <c r="F39" s="6">
        <v>4.99</v>
      </c>
      <c r="H39" s="6">
        <v>7.48</v>
      </c>
      <c r="I39" s="6">
        <v>4.99</v>
      </c>
      <c r="K39" s="11">
        <f t="shared" si="0"/>
        <v>7444.99</v>
      </c>
      <c r="L39" s="10">
        <f t="shared" si="1"/>
        <v>7475.01</v>
      </c>
      <c r="M39" s="11">
        <f t="shared" si="2"/>
        <v>30.020000000000437</v>
      </c>
      <c r="N39" s="10">
        <f t="shared" si="3"/>
        <v>4.0000000000000036E-2</v>
      </c>
    </row>
    <row r="40" spans="1:14" x14ac:dyDescent="0.25">
      <c r="A40" s="20"/>
      <c r="B40" s="20"/>
      <c r="C40" s="21" t="s">
        <v>33</v>
      </c>
      <c r="D40" s="21">
        <v>1500</v>
      </c>
      <c r="E40" s="6">
        <v>3.6</v>
      </c>
      <c r="F40" s="6">
        <v>4.99</v>
      </c>
      <c r="H40" s="6">
        <v>3.66</v>
      </c>
      <c r="I40" s="6">
        <v>4.99</v>
      </c>
      <c r="K40" s="11">
        <f t="shared" si="0"/>
        <v>5404.99</v>
      </c>
      <c r="L40" s="10">
        <f t="shared" si="1"/>
        <v>5485.01</v>
      </c>
      <c r="M40" s="11">
        <f t="shared" si="2"/>
        <v>80.020000000000437</v>
      </c>
      <c r="N40" s="10">
        <f t="shared" si="3"/>
        <v>6.0000000000000053E-2</v>
      </c>
    </row>
    <row r="41" spans="1:14" x14ac:dyDescent="0.25">
      <c r="A41" s="20"/>
      <c r="B41" s="20"/>
      <c r="C41" s="21" t="s">
        <v>35</v>
      </c>
      <c r="D41" s="21">
        <v>1000</v>
      </c>
      <c r="E41" s="6">
        <v>7.37</v>
      </c>
      <c r="F41" s="6">
        <v>4.99</v>
      </c>
      <c r="H41" s="6">
        <v>7.42</v>
      </c>
      <c r="I41" s="6">
        <v>4.99</v>
      </c>
      <c r="K41" s="11">
        <f t="shared" si="0"/>
        <v>7374.99</v>
      </c>
      <c r="L41" s="10">
        <f t="shared" si="1"/>
        <v>7415.01</v>
      </c>
      <c r="M41" s="11">
        <f t="shared" si="2"/>
        <v>40.020000000000437</v>
      </c>
      <c r="N41" s="10">
        <f t="shared" si="3"/>
        <v>4.9999999999999822E-2</v>
      </c>
    </row>
    <row r="42" spans="1:14" x14ac:dyDescent="0.25">
      <c r="A42" s="20">
        <v>41983</v>
      </c>
      <c r="B42" s="20"/>
      <c r="C42" s="21" t="s">
        <v>26</v>
      </c>
      <c r="D42" s="21">
        <v>1000</v>
      </c>
      <c r="E42" s="6">
        <v>8.3800000000000008</v>
      </c>
      <c r="F42" s="6">
        <v>4.99</v>
      </c>
      <c r="H42" s="6">
        <v>8.44</v>
      </c>
      <c r="I42" s="6">
        <v>4.99</v>
      </c>
      <c r="K42" s="11">
        <f t="shared" si="0"/>
        <v>8384.99</v>
      </c>
      <c r="L42" s="10">
        <f t="shared" si="1"/>
        <v>8435.01</v>
      </c>
      <c r="M42" s="11">
        <f t="shared" si="2"/>
        <v>50.020000000000437</v>
      </c>
      <c r="N42" s="10">
        <f t="shared" si="3"/>
        <v>5.9999999999998721E-2</v>
      </c>
    </row>
    <row r="43" spans="1:14" s="15" customFormat="1" x14ac:dyDescent="0.25">
      <c r="A43" s="19"/>
      <c r="B43" s="19" t="s">
        <v>31</v>
      </c>
      <c r="C43" s="22" t="s">
        <v>9</v>
      </c>
      <c r="D43" s="22">
        <v>1000</v>
      </c>
      <c r="E43" s="6">
        <v>5.91</v>
      </c>
      <c r="F43" s="27">
        <v>4.99</v>
      </c>
      <c r="G43" s="38"/>
      <c r="H43" s="6">
        <v>6.06</v>
      </c>
      <c r="I43" s="27">
        <v>4.99</v>
      </c>
      <c r="J43" s="38"/>
      <c r="K43" s="11">
        <f t="shared" si="0"/>
        <v>5914.99</v>
      </c>
      <c r="L43" s="10">
        <f t="shared" si="1"/>
        <v>6055.01</v>
      </c>
      <c r="M43" s="11">
        <f t="shared" si="2"/>
        <v>140.02000000000044</v>
      </c>
      <c r="N43" s="10">
        <f t="shared" si="3"/>
        <v>0.14999999999999947</v>
      </c>
    </row>
    <row r="44" spans="1:14" x14ac:dyDescent="0.25">
      <c r="A44" s="20"/>
      <c r="B44" s="20"/>
      <c r="C44" s="21" t="s">
        <v>33</v>
      </c>
      <c r="D44" s="21">
        <v>1500</v>
      </c>
      <c r="E44" s="6">
        <v>3.46</v>
      </c>
      <c r="F44" s="6">
        <v>4.99</v>
      </c>
      <c r="H44" s="6">
        <v>3.36</v>
      </c>
      <c r="I44" s="6">
        <v>4.99</v>
      </c>
      <c r="K44" s="11">
        <f t="shared" si="0"/>
        <v>5194.99</v>
      </c>
      <c r="L44" s="10">
        <f t="shared" si="1"/>
        <v>5035.01</v>
      </c>
      <c r="M44" s="11">
        <f t="shared" si="2"/>
        <v>-159.97999999999956</v>
      </c>
      <c r="N44" s="10">
        <f t="shared" si="3"/>
        <v>-0.10000000000000009</v>
      </c>
    </row>
    <row r="45" spans="1:14" x14ac:dyDescent="0.25">
      <c r="A45" s="20"/>
      <c r="B45" s="20"/>
      <c r="C45" s="21" t="s">
        <v>26</v>
      </c>
      <c r="D45" s="21">
        <v>1000</v>
      </c>
      <c r="E45" s="6">
        <v>8.59</v>
      </c>
      <c r="F45" s="6">
        <v>4.99</v>
      </c>
      <c r="H45" s="27">
        <v>8.67</v>
      </c>
      <c r="I45" s="6">
        <v>4.99</v>
      </c>
      <c r="J45" s="40"/>
      <c r="K45" s="11">
        <f t="shared" si="0"/>
        <v>8594.99</v>
      </c>
      <c r="L45" s="10">
        <f t="shared" si="1"/>
        <v>8665.01</v>
      </c>
      <c r="M45" s="11">
        <f t="shared" si="2"/>
        <v>70.020000000000437</v>
      </c>
      <c r="N45" s="10">
        <f t="shared" si="3"/>
        <v>8.0000000000000071E-2</v>
      </c>
    </row>
    <row r="46" spans="1:14" x14ac:dyDescent="0.25">
      <c r="A46" s="20"/>
      <c r="B46" s="20"/>
      <c r="C46" s="21" t="s">
        <v>28</v>
      </c>
      <c r="D46" s="21">
        <v>1000</v>
      </c>
      <c r="E46" s="6">
        <v>7.21</v>
      </c>
      <c r="F46" s="6">
        <v>4.99</v>
      </c>
      <c r="H46" s="27">
        <v>7.29</v>
      </c>
      <c r="I46" s="6">
        <v>4.99</v>
      </c>
      <c r="J46" s="40"/>
      <c r="K46" s="11">
        <f t="shared" si="0"/>
        <v>7214.99</v>
      </c>
      <c r="L46" s="10">
        <f t="shared" si="1"/>
        <v>7285.01</v>
      </c>
      <c r="M46" s="11">
        <f t="shared" si="2"/>
        <v>70.020000000000437</v>
      </c>
      <c r="N46" s="10">
        <f t="shared" si="3"/>
        <v>8.0000000000000071E-2</v>
      </c>
    </row>
    <row r="47" spans="1:14" x14ac:dyDescent="0.25">
      <c r="A47" s="20"/>
      <c r="B47" s="20"/>
      <c r="C47" s="21" t="s">
        <v>33</v>
      </c>
      <c r="D47" s="21">
        <v>1500</v>
      </c>
      <c r="E47" s="27">
        <v>3.46</v>
      </c>
      <c r="F47" s="6">
        <v>4.99</v>
      </c>
      <c r="G47" s="40"/>
      <c r="H47" s="6">
        <v>2.91</v>
      </c>
      <c r="I47" s="6">
        <v>4.99</v>
      </c>
      <c r="K47" s="11">
        <f t="shared" si="0"/>
        <v>5194.99</v>
      </c>
      <c r="L47" s="10">
        <f t="shared" si="1"/>
        <v>4360.01</v>
      </c>
      <c r="M47" s="11">
        <f t="shared" si="2"/>
        <v>-834.97999999999956</v>
      </c>
      <c r="N47" s="10">
        <f t="shared" si="3"/>
        <v>-0.54999999999999982</v>
      </c>
    </row>
    <row r="48" spans="1:14" x14ac:dyDescent="0.25">
      <c r="A48" s="20"/>
      <c r="B48" s="20"/>
      <c r="C48" s="21" t="s">
        <v>33</v>
      </c>
      <c r="D48" s="21">
        <v>900</v>
      </c>
      <c r="E48" s="6">
        <v>3.21</v>
      </c>
      <c r="F48" s="6">
        <v>4.99</v>
      </c>
      <c r="H48" s="6">
        <v>3.25</v>
      </c>
      <c r="I48" s="6">
        <v>4.99</v>
      </c>
      <c r="K48" s="11">
        <f t="shared" si="0"/>
        <v>2893.99</v>
      </c>
      <c r="L48" s="10">
        <f t="shared" si="1"/>
        <v>2920.01</v>
      </c>
      <c r="M48" s="11">
        <f t="shared" si="2"/>
        <v>26.020000000000437</v>
      </c>
      <c r="N48" s="10">
        <f t="shared" si="3"/>
        <v>4.0000000000000036E-2</v>
      </c>
    </row>
    <row r="49" spans="1:14" x14ac:dyDescent="0.25">
      <c r="A49" s="20"/>
      <c r="B49" s="20"/>
      <c r="C49" s="21" t="s">
        <v>33</v>
      </c>
      <c r="D49" s="21">
        <v>900</v>
      </c>
      <c r="E49" s="6">
        <v>3.23</v>
      </c>
      <c r="F49" s="6">
        <v>4.99</v>
      </c>
      <c r="H49" s="6">
        <v>3.28</v>
      </c>
      <c r="I49" s="6">
        <v>4.99</v>
      </c>
      <c r="K49" s="11">
        <f t="shared" si="0"/>
        <v>2911.99</v>
      </c>
      <c r="L49" s="10">
        <f t="shared" si="1"/>
        <v>2947.01</v>
      </c>
      <c r="M49" s="11">
        <f t="shared" si="2"/>
        <v>35.020000000000437</v>
      </c>
      <c r="N49" s="10">
        <f t="shared" si="3"/>
        <v>4.9999999999999822E-2</v>
      </c>
    </row>
    <row r="50" spans="1:14" x14ac:dyDescent="0.25">
      <c r="A50" s="20">
        <v>41984</v>
      </c>
      <c r="B50" s="20"/>
      <c r="C50" s="21" t="s">
        <v>26</v>
      </c>
      <c r="D50" s="21">
        <v>1000</v>
      </c>
      <c r="E50" s="6">
        <v>8.58</v>
      </c>
      <c r="F50" s="6">
        <v>4.99</v>
      </c>
      <c r="H50" s="41">
        <v>8.82</v>
      </c>
      <c r="I50" s="6">
        <v>4.99</v>
      </c>
      <c r="J50" s="42"/>
      <c r="K50" s="11">
        <f t="shared" si="0"/>
        <v>8584.99</v>
      </c>
      <c r="L50" s="10">
        <f t="shared" si="1"/>
        <v>8815.01</v>
      </c>
      <c r="M50" s="11">
        <f t="shared" si="2"/>
        <v>230.02000000000044</v>
      </c>
      <c r="N50" s="10">
        <f t="shared" si="3"/>
        <v>0.24000000000000021</v>
      </c>
    </row>
    <row r="51" spans="1:14" x14ac:dyDescent="0.25">
      <c r="A51" s="20"/>
      <c r="B51" s="20"/>
      <c r="C51" s="21" t="s">
        <v>33</v>
      </c>
      <c r="D51" s="21">
        <v>1000</v>
      </c>
      <c r="E51" s="6">
        <v>3</v>
      </c>
      <c r="F51" s="6">
        <v>4.99</v>
      </c>
      <c r="H51" s="6">
        <v>3.05</v>
      </c>
      <c r="I51" s="6">
        <v>4.99</v>
      </c>
      <c r="K51" s="11">
        <f t="shared" si="0"/>
        <v>3004.99</v>
      </c>
      <c r="L51" s="10">
        <f t="shared" si="1"/>
        <v>3045.01</v>
      </c>
      <c r="M51" s="11">
        <f t="shared" si="2"/>
        <v>40.020000000000437</v>
      </c>
      <c r="N51" s="10">
        <f t="shared" si="3"/>
        <v>4.9999999999999822E-2</v>
      </c>
    </row>
    <row r="52" spans="1:14" x14ac:dyDescent="0.25">
      <c r="A52" s="20"/>
      <c r="B52" s="20"/>
      <c r="C52" s="21" t="s">
        <v>33</v>
      </c>
      <c r="D52" s="21">
        <v>1000</v>
      </c>
      <c r="E52" s="6">
        <v>3.15</v>
      </c>
      <c r="F52" s="6">
        <v>4.99</v>
      </c>
      <c r="H52" s="6">
        <v>3.05</v>
      </c>
      <c r="I52" s="6">
        <v>4.99</v>
      </c>
      <c r="K52" s="11">
        <f t="shared" si="0"/>
        <v>3154.99</v>
      </c>
      <c r="L52" s="10">
        <f t="shared" si="1"/>
        <v>3045.01</v>
      </c>
      <c r="M52" s="11">
        <f t="shared" si="2"/>
        <v>-109.97999999999956</v>
      </c>
      <c r="N52" s="10">
        <f t="shared" si="3"/>
        <v>-0.10000000000000009</v>
      </c>
    </row>
    <row r="53" spans="1:14" x14ac:dyDescent="0.25">
      <c r="A53" s="20"/>
      <c r="B53" s="20"/>
      <c r="C53" s="21" t="s">
        <v>33</v>
      </c>
      <c r="D53" s="21">
        <v>2000</v>
      </c>
      <c r="E53" s="6">
        <v>3.15</v>
      </c>
      <c r="F53" s="6">
        <v>4.99</v>
      </c>
      <c r="H53" s="6">
        <v>3.15</v>
      </c>
      <c r="I53" s="6">
        <v>4.99</v>
      </c>
      <c r="K53" s="11">
        <f t="shared" si="0"/>
        <v>6304.99</v>
      </c>
      <c r="L53" s="10">
        <f t="shared" si="1"/>
        <v>6295.01</v>
      </c>
      <c r="M53" s="11">
        <f t="shared" si="2"/>
        <v>-9.9799999999995634</v>
      </c>
      <c r="N53" s="10">
        <f t="shared" si="3"/>
        <v>0</v>
      </c>
    </row>
    <row r="54" spans="1:14" x14ac:dyDescent="0.25">
      <c r="A54" s="20"/>
      <c r="B54" s="20"/>
      <c r="C54" s="21" t="s">
        <v>26</v>
      </c>
      <c r="D54" s="21">
        <v>1000</v>
      </c>
      <c r="E54" s="6">
        <v>8.27</v>
      </c>
      <c r="F54" s="6">
        <v>4.99</v>
      </c>
      <c r="H54" s="6">
        <v>8.2799999999999994</v>
      </c>
      <c r="I54" s="6">
        <v>4.99</v>
      </c>
      <c r="K54" s="11">
        <f t="shared" si="0"/>
        <v>8274.99</v>
      </c>
      <c r="L54" s="10">
        <f t="shared" si="1"/>
        <v>8275.01</v>
      </c>
      <c r="M54" s="11">
        <f t="shared" si="2"/>
        <v>2.0000000000436557E-2</v>
      </c>
      <c r="N54" s="10">
        <f t="shared" si="3"/>
        <v>9.9999999999997868E-3</v>
      </c>
    </row>
    <row r="55" spans="1:14" x14ac:dyDescent="0.25">
      <c r="A55" s="20"/>
      <c r="B55" s="20"/>
      <c r="C55" s="21" t="s">
        <v>28</v>
      </c>
      <c r="D55" s="21">
        <v>1000</v>
      </c>
      <c r="E55" s="6">
        <v>7.57</v>
      </c>
      <c r="F55" s="6">
        <v>4.99</v>
      </c>
      <c r="H55" s="27">
        <v>7.62</v>
      </c>
      <c r="I55" s="6">
        <v>4.99</v>
      </c>
      <c r="J55" s="40"/>
      <c r="K55" s="11">
        <f t="shared" si="0"/>
        <v>7574.99</v>
      </c>
      <c r="L55" s="10">
        <f t="shared" si="1"/>
        <v>7615.01</v>
      </c>
      <c r="M55" s="11">
        <f t="shared" si="2"/>
        <v>40.020000000000437</v>
      </c>
      <c r="N55" s="10">
        <f t="shared" si="3"/>
        <v>4.9999999999999822E-2</v>
      </c>
    </row>
    <row r="56" spans="1:14" x14ac:dyDescent="0.25">
      <c r="A56" s="20"/>
      <c r="B56" s="20"/>
      <c r="C56" s="21" t="s">
        <v>28</v>
      </c>
      <c r="D56" s="21">
        <v>1000</v>
      </c>
      <c r="E56" s="27">
        <v>7.55</v>
      </c>
      <c r="F56" s="6">
        <v>4.99</v>
      </c>
      <c r="G56" s="40"/>
      <c r="H56" s="6">
        <v>7.51</v>
      </c>
      <c r="I56" s="6">
        <v>4.99</v>
      </c>
      <c r="K56" s="11">
        <f t="shared" si="0"/>
        <v>7554.99</v>
      </c>
      <c r="L56" s="10">
        <f t="shared" si="1"/>
        <v>7505.01</v>
      </c>
      <c r="M56" s="11">
        <f t="shared" si="2"/>
        <v>-49.979999999999563</v>
      </c>
      <c r="N56" s="10">
        <f t="shared" si="3"/>
        <v>-4.0000000000000036E-2</v>
      </c>
    </row>
    <row r="57" spans="1:14" x14ac:dyDescent="0.25">
      <c r="A57" s="20"/>
      <c r="B57" s="20"/>
      <c r="C57" s="21" t="s">
        <v>36</v>
      </c>
      <c r="D57" s="21">
        <v>1000</v>
      </c>
      <c r="E57" s="27">
        <v>2.97</v>
      </c>
      <c r="F57" s="6">
        <v>4.99</v>
      </c>
      <c r="G57" s="40"/>
      <c r="H57" s="27">
        <v>3.12</v>
      </c>
      <c r="I57" s="6">
        <v>4.99</v>
      </c>
      <c r="J57" s="40"/>
      <c r="K57" s="11">
        <f t="shared" si="0"/>
        <v>2974.99</v>
      </c>
      <c r="L57" s="10">
        <f t="shared" si="1"/>
        <v>3115.01</v>
      </c>
      <c r="M57" s="11">
        <f t="shared" si="2"/>
        <v>140.02000000000044</v>
      </c>
      <c r="N57" s="10">
        <f t="shared" si="3"/>
        <v>0.14999999999999991</v>
      </c>
    </row>
    <row r="58" spans="1:14" s="15" customFormat="1" x14ac:dyDescent="0.25">
      <c r="A58" s="19"/>
      <c r="B58" s="19"/>
      <c r="C58" s="48" t="s">
        <v>27</v>
      </c>
      <c r="D58" s="22">
        <v>1000</v>
      </c>
      <c r="E58" s="6">
        <v>3.59</v>
      </c>
      <c r="F58" s="27">
        <v>4.99</v>
      </c>
      <c r="G58" s="38"/>
      <c r="H58" s="6"/>
      <c r="I58" s="27">
        <v>4.99</v>
      </c>
      <c r="J58" s="38"/>
      <c r="K58" s="11">
        <f t="shared" si="0"/>
        <v>3594.99</v>
      </c>
      <c r="L58" s="10">
        <f t="shared" si="1"/>
        <v>0</v>
      </c>
      <c r="M58" s="11">
        <f t="shared" si="2"/>
        <v>0</v>
      </c>
      <c r="N58" s="10">
        <f t="shared" si="3"/>
        <v>0</v>
      </c>
    </row>
    <row r="59" spans="1:14" x14ac:dyDescent="0.25">
      <c r="A59" s="20">
        <v>41985</v>
      </c>
      <c r="B59" s="20"/>
      <c r="C59" s="21" t="s">
        <v>36</v>
      </c>
      <c r="D59" s="21">
        <v>1000</v>
      </c>
      <c r="E59" s="6">
        <v>3.81</v>
      </c>
      <c r="F59" s="6">
        <v>4.99</v>
      </c>
      <c r="H59" s="6">
        <v>3.86</v>
      </c>
      <c r="I59" s="6">
        <v>4.99</v>
      </c>
      <c r="K59" s="11">
        <f t="shared" si="0"/>
        <v>3814.99</v>
      </c>
      <c r="L59" s="10">
        <f t="shared" si="1"/>
        <v>3855.01</v>
      </c>
      <c r="M59" s="11">
        <f t="shared" si="2"/>
        <v>40.020000000000437</v>
      </c>
      <c r="N59" s="10">
        <f t="shared" si="3"/>
        <v>4.9999999999999822E-2</v>
      </c>
    </row>
    <row r="60" spans="1:14" x14ac:dyDescent="0.25">
      <c r="A60" s="20"/>
      <c r="B60" s="20"/>
      <c r="C60" s="21" t="s">
        <v>28</v>
      </c>
      <c r="D60" s="21">
        <v>1000</v>
      </c>
      <c r="E60" s="6">
        <v>7.19</v>
      </c>
      <c r="F60" s="6">
        <v>4.99</v>
      </c>
      <c r="H60" s="6">
        <v>7.25</v>
      </c>
      <c r="I60" s="6">
        <v>4.99</v>
      </c>
      <c r="K60" s="11">
        <f t="shared" si="0"/>
        <v>7194.99</v>
      </c>
      <c r="L60" s="10">
        <f t="shared" si="1"/>
        <v>7245.01</v>
      </c>
      <c r="M60" s="11">
        <f t="shared" si="2"/>
        <v>50.020000000000437</v>
      </c>
      <c r="N60" s="10">
        <f t="shared" si="3"/>
        <v>5.9999999999999609E-2</v>
      </c>
    </row>
    <row r="61" spans="1:14" x14ac:dyDescent="0.25">
      <c r="A61" s="20"/>
      <c r="B61" s="20"/>
      <c r="C61" s="21" t="s">
        <v>28</v>
      </c>
      <c r="D61" s="21">
        <v>1000</v>
      </c>
      <c r="E61" s="27">
        <v>7.17</v>
      </c>
      <c r="F61" s="6">
        <v>4.99</v>
      </c>
      <c r="G61" s="40"/>
      <c r="H61" s="27">
        <v>7.21</v>
      </c>
      <c r="I61" s="6">
        <v>4.99</v>
      </c>
      <c r="J61" s="40"/>
      <c r="K61" s="11">
        <f t="shared" si="0"/>
        <v>7174.99</v>
      </c>
      <c r="L61" s="10">
        <f t="shared" si="1"/>
        <v>7205.01</v>
      </c>
      <c r="M61" s="11">
        <f t="shared" si="2"/>
        <v>30.020000000000437</v>
      </c>
      <c r="N61" s="10">
        <f t="shared" si="3"/>
        <v>4.0000000000000036E-2</v>
      </c>
    </row>
    <row r="62" spans="1:14" x14ac:dyDescent="0.25">
      <c r="A62" s="20"/>
      <c r="B62" s="20"/>
      <c r="C62" s="21" t="s">
        <v>26</v>
      </c>
      <c r="D62" s="21">
        <v>1000</v>
      </c>
      <c r="E62" s="6">
        <v>8.75</v>
      </c>
      <c r="F62" s="6">
        <v>4.99</v>
      </c>
      <c r="H62" s="6">
        <v>8.85</v>
      </c>
      <c r="I62" s="6">
        <v>4.99</v>
      </c>
      <c r="K62" s="11">
        <f t="shared" si="0"/>
        <v>8754.99</v>
      </c>
      <c r="L62" s="10">
        <f t="shared" si="1"/>
        <v>8845.01</v>
      </c>
      <c r="M62" s="11">
        <f t="shared" si="2"/>
        <v>90.020000000000437</v>
      </c>
      <c r="N62" s="10">
        <f t="shared" si="3"/>
        <v>9.9999999999999645E-2</v>
      </c>
    </row>
    <row r="63" spans="1:14" x14ac:dyDescent="0.25">
      <c r="A63" s="20">
        <v>41988</v>
      </c>
      <c r="B63" s="20"/>
      <c r="C63" s="21" t="s">
        <v>33</v>
      </c>
      <c r="D63" s="21">
        <v>1500</v>
      </c>
      <c r="E63" s="6">
        <v>2.46</v>
      </c>
      <c r="F63" s="6">
        <v>4.99</v>
      </c>
      <c r="H63" s="6">
        <v>2.57</v>
      </c>
      <c r="I63" s="6">
        <v>4.99</v>
      </c>
      <c r="K63" s="11">
        <f t="shared" si="0"/>
        <v>3694.99</v>
      </c>
      <c r="L63" s="10">
        <f t="shared" si="1"/>
        <v>3850.0099999999998</v>
      </c>
      <c r="M63" s="11">
        <f t="shared" si="2"/>
        <v>155.01999999999998</v>
      </c>
      <c r="N63" s="10">
        <f t="shared" si="3"/>
        <v>0.10999999999999988</v>
      </c>
    </row>
    <row r="64" spans="1:14" s="15" customFormat="1" x14ac:dyDescent="0.25">
      <c r="A64" s="19"/>
      <c r="B64" s="19"/>
      <c r="C64" s="22" t="s">
        <v>36</v>
      </c>
      <c r="D64" s="22">
        <v>1000</v>
      </c>
      <c r="E64" s="6">
        <v>3.13</v>
      </c>
      <c r="F64" s="27">
        <v>4.99</v>
      </c>
      <c r="G64" s="38"/>
      <c r="H64" s="6">
        <v>3.01</v>
      </c>
      <c r="I64" s="27">
        <v>4.99</v>
      </c>
      <c r="J64" s="38"/>
      <c r="K64" s="11">
        <f t="shared" si="0"/>
        <v>3134.99</v>
      </c>
      <c r="L64" s="10">
        <f t="shared" si="1"/>
        <v>3005.01</v>
      </c>
      <c r="M64" s="11">
        <f t="shared" si="2"/>
        <v>-129.97999999999956</v>
      </c>
      <c r="N64" s="10">
        <f t="shared" si="3"/>
        <v>-0.12000000000000011</v>
      </c>
    </row>
    <row r="65" spans="1:14" x14ac:dyDescent="0.25">
      <c r="A65" s="20"/>
      <c r="B65" s="20"/>
      <c r="C65" s="21" t="s">
        <v>33</v>
      </c>
      <c r="D65" s="21">
        <v>1500</v>
      </c>
      <c r="E65" s="6">
        <v>2.5299999999999998</v>
      </c>
      <c r="F65" s="27">
        <v>4.99</v>
      </c>
      <c r="H65" s="6">
        <v>2.57</v>
      </c>
      <c r="I65" s="27">
        <v>4.99</v>
      </c>
      <c r="K65" s="11">
        <f t="shared" si="0"/>
        <v>3799.9899999999993</v>
      </c>
      <c r="L65" s="10">
        <f t="shared" si="1"/>
        <v>3850.0099999999998</v>
      </c>
      <c r="M65" s="11">
        <f t="shared" si="2"/>
        <v>50.020000000000437</v>
      </c>
      <c r="N65" s="10">
        <f t="shared" si="3"/>
        <v>4.0000000000000036E-2</v>
      </c>
    </row>
    <row r="66" spans="1:14" x14ac:dyDescent="0.25">
      <c r="A66" s="20"/>
      <c r="B66" s="20"/>
      <c r="C66" s="21" t="s">
        <v>33</v>
      </c>
      <c r="D66" s="21">
        <v>1500</v>
      </c>
      <c r="E66" s="6">
        <v>2.54</v>
      </c>
      <c r="F66" s="6">
        <v>4.99</v>
      </c>
      <c r="H66" s="6">
        <v>2.44</v>
      </c>
      <c r="I66" s="6">
        <v>4.99</v>
      </c>
      <c r="K66" s="11">
        <f t="shared" si="0"/>
        <v>3814.99</v>
      </c>
      <c r="L66" s="10">
        <f t="shared" si="1"/>
        <v>3655.01</v>
      </c>
      <c r="M66" s="11">
        <f t="shared" si="2"/>
        <v>-159.97999999999956</v>
      </c>
      <c r="N66" s="10">
        <f t="shared" si="3"/>
        <v>-0.10000000000000009</v>
      </c>
    </row>
    <row r="67" spans="1:14" s="15" customFormat="1" x14ac:dyDescent="0.25">
      <c r="A67" s="19"/>
      <c r="B67" s="19"/>
      <c r="C67" s="48" t="s">
        <v>26</v>
      </c>
      <c r="D67" s="22">
        <v>1000</v>
      </c>
      <c r="E67" s="6">
        <v>8.6999999999999993</v>
      </c>
      <c r="F67" s="27">
        <v>4.99</v>
      </c>
      <c r="G67" s="38"/>
      <c r="H67" s="6"/>
      <c r="I67" s="27">
        <v>4.99</v>
      </c>
      <c r="J67" s="38"/>
      <c r="K67" s="11">
        <f t="shared" si="0"/>
        <v>8704.99</v>
      </c>
      <c r="L67" s="10">
        <f t="shared" si="1"/>
        <v>0</v>
      </c>
      <c r="M67" s="11">
        <f t="shared" si="2"/>
        <v>0</v>
      </c>
      <c r="N67" s="10">
        <f t="shared" si="3"/>
        <v>0</v>
      </c>
    </row>
    <row r="68" spans="1:14" s="4" customFormat="1" x14ac:dyDescent="0.25">
      <c r="A68" s="20">
        <v>41989</v>
      </c>
      <c r="B68" s="20"/>
      <c r="C68" s="21" t="s">
        <v>26</v>
      </c>
      <c r="D68" s="21">
        <v>1000</v>
      </c>
      <c r="E68" s="6">
        <v>8.25</v>
      </c>
      <c r="F68" s="6">
        <v>4.99</v>
      </c>
      <c r="G68" s="38"/>
      <c r="H68" s="6">
        <v>8.31</v>
      </c>
      <c r="I68" s="6">
        <v>4.99</v>
      </c>
      <c r="J68" s="38"/>
      <c r="K68" s="11">
        <f t="shared" si="0"/>
        <v>8254.99</v>
      </c>
      <c r="L68" s="10">
        <f t="shared" si="1"/>
        <v>8305.01</v>
      </c>
      <c r="M68" s="11">
        <f t="shared" si="2"/>
        <v>50.020000000000437</v>
      </c>
      <c r="N68" s="10">
        <f t="shared" si="3"/>
        <v>6.0000000000000497E-2</v>
      </c>
    </row>
    <row r="69" spans="1:14" s="4" customFormat="1" x14ac:dyDescent="0.25">
      <c r="A69" s="20"/>
      <c r="B69" s="20"/>
      <c r="C69" s="21" t="s">
        <v>36</v>
      </c>
      <c r="D69" s="21">
        <v>1000</v>
      </c>
      <c r="E69" s="6">
        <v>2.81</v>
      </c>
      <c r="F69" s="6">
        <v>4.99</v>
      </c>
      <c r="G69" s="38"/>
      <c r="H69" s="6">
        <v>2.99</v>
      </c>
      <c r="I69" s="6">
        <v>4.99</v>
      </c>
      <c r="J69" s="38"/>
      <c r="K69" s="11">
        <f t="shared" si="0"/>
        <v>2814.99</v>
      </c>
      <c r="L69" s="10">
        <f t="shared" si="1"/>
        <v>2985.01</v>
      </c>
      <c r="M69" s="11">
        <f t="shared" si="2"/>
        <v>170.02000000000044</v>
      </c>
      <c r="N69" s="10">
        <f t="shared" si="3"/>
        <v>0.18000000000000016</v>
      </c>
    </row>
    <row r="70" spans="1:14" x14ac:dyDescent="0.25">
      <c r="A70" s="20"/>
      <c r="B70" s="20"/>
      <c r="C70" s="21" t="s">
        <v>33</v>
      </c>
      <c r="D70" s="21">
        <v>1500</v>
      </c>
      <c r="E70" s="6">
        <v>2.2799999999999998</v>
      </c>
      <c r="F70" s="6">
        <v>4.99</v>
      </c>
      <c r="H70" s="6">
        <v>1.88</v>
      </c>
      <c r="I70" s="6">
        <v>4.99</v>
      </c>
      <c r="K70" s="11">
        <f t="shared" ref="K70:K133" si="4">IF(D70&gt;0,IF(G70&gt;0,((D70*E70)+F70)*G70,(D70*E70)+F70),0)</f>
        <v>3424.9899999999993</v>
      </c>
      <c r="L70" s="10">
        <f t="shared" ref="L70:L133" si="5">IF(H70&gt;0,IF(J70&gt;0,((D70*H70)-I70)*J70,(D70*H70)-I70),0)</f>
        <v>2815.01</v>
      </c>
      <c r="M70" s="11">
        <f t="shared" ref="M70:M133" si="6">IF(H70&gt;0,L70-K70,0)</f>
        <v>-609.97999999999911</v>
      </c>
      <c r="N70" s="10">
        <f t="shared" ref="N70:N133" si="7">IF(H70&gt;0,H70-E70,0)</f>
        <v>-0.39999999999999991</v>
      </c>
    </row>
    <row r="71" spans="1:14" x14ac:dyDescent="0.25">
      <c r="A71" s="20"/>
      <c r="B71" s="20"/>
      <c r="C71" s="21" t="s">
        <v>33</v>
      </c>
      <c r="D71" s="21">
        <v>1500</v>
      </c>
      <c r="E71" s="6">
        <v>1.99</v>
      </c>
      <c r="F71" s="6">
        <v>4.99</v>
      </c>
      <c r="H71" s="6">
        <v>2.0099999999999998</v>
      </c>
      <c r="I71" s="6">
        <v>4.99</v>
      </c>
      <c r="K71" s="11">
        <f t="shared" si="4"/>
        <v>2989.99</v>
      </c>
      <c r="L71" s="10">
        <f t="shared" si="5"/>
        <v>3010.0099999999998</v>
      </c>
      <c r="M71" s="11">
        <f t="shared" si="6"/>
        <v>20.019999999999982</v>
      </c>
      <c r="N71" s="10">
        <f t="shared" si="7"/>
        <v>1.9999999999999796E-2</v>
      </c>
    </row>
    <row r="72" spans="1:14" s="4" customFormat="1" x14ac:dyDescent="0.25">
      <c r="A72" s="20"/>
      <c r="B72" s="20"/>
      <c r="C72" s="21" t="s">
        <v>26</v>
      </c>
      <c r="D72" s="21">
        <v>1000</v>
      </c>
      <c r="E72" s="6">
        <v>8.2100000000000009</v>
      </c>
      <c r="F72" s="6">
        <v>4.99</v>
      </c>
      <c r="G72" s="38"/>
      <c r="H72" s="6">
        <v>8.26</v>
      </c>
      <c r="I72" s="6">
        <v>4.99</v>
      </c>
      <c r="J72" s="38"/>
      <c r="K72" s="11">
        <f t="shared" si="4"/>
        <v>8214.99</v>
      </c>
      <c r="L72" s="10">
        <f t="shared" si="5"/>
        <v>8255.01</v>
      </c>
      <c r="M72" s="11">
        <f t="shared" si="6"/>
        <v>40.020000000000437</v>
      </c>
      <c r="N72" s="10">
        <f t="shared" si="7"/>
        <v>4.9999999999998934E-2</v>
      </c>
    </row>
    <row r="73" spans="1:14" x14ac:dyDescent="0.25">
      <c r="A73" s="20"/>
      <c r="B73" s="20"/>
      <c r="C73" s="21" t="s">
        <v>33</v>
      </c>
      <c r="D73" s="21">
        <v>1500</v>
      </c>
      <c r="E73" s="6">
        <v>2</v>
      </c>
      <c r="F73" s="6">
        <v>4.99</v>
      </c>
      <c r="H73" s="6">
        <v>2.02</v>
      </c>
      <c r="I73" s="6">
        <v>4.99</v>
      </c>
      <c r="K73" s="11">
        <f t="shared" si="4"/>
        <v>3004.99</v>
      </c>
      <c r="L73" s="10">
        <f t="shared" si="5"/>
        <v>3025.01</v>
      </c>
      <c r="M73" s="11">
        <f t="shared" si="6"/>
        <v>20.020000000000437</v>
      </c>
      <c r="N73" s="10">
        <f t="shared" si="7"/>
        <v>2.0000000000000018E-2</v>
      </c>
    </row>
    <row r="74" spans="1:14" x14ac:dyDescent="0.25">
      <c r="A74" s="20"/>
      <c r="B74" s="20"/>
      <c r="C74" s="21" t="s">
        <v>33</v>
      </c>
      <c r="D74" s="21">
        <v>1500</v>
      </c>
      <c r="E74" s="6">
        <v>1.97</v>
      </c>
      <c r="F74" s="6">
        <v>4.99</v>
      </c>
      <c r="H74" s="6">
        <v>2.0299999999999998</v>
      </c>
      <c r="I74" s="6">
        <v>4.99</v>
      </c>
      <c r="K74" s="11">
        <f t="shared" si="4"/>
        <v>2959.99</v>
      </c>
      <c r="L74" s="10">
        <f t="shared" si="5"/>
        <v>3040.0099999999998</v>
      </c>
      <c r="M74" s="11">
        <f t="shared" si="6"/>
        <v>80.019999999999982</v>
      </c>
      <c r="N74" s="10">
        <f t="shared" si="7"/>
        <v>5.9999999999999831E-2</v>
      </c>
    </row>
    <row r="75" spans="1:14" x14ac:dyDescent="0.25">
      <c r="A75" s="20">
        <v>41990</v>
      </c>
      <c r="B75" s="20"/>
      <c r="C75" s="21" t="s">
        <v>26</v>
      </c>
      <c r="D75" s="21">
        <v>1000</v>
      </c>
      <c r="E75" s="6">
        <v>8.3000000000000007</v>
      </c>
      <c r="F75" s="6">
        <v>4.99</v>
      </c>
      <c r="H75" s="6">
        <v>8.4</v>
      </c>
      <c r="I75" s="6">
        <v>4.99</v>
      </c>
      <c r="K75" s="11">
        <f t="shared" si="4"/>
        <v>8304.99</v>
      </c>
      <c r="L75" s="10">
        <f t="shared" si="5"/>
        <v>8395.01</v>
      </c>
      <c r="M75" s="11">
        <f t="shared" si="6"/>
        <v>90.020000000000437</v>
      </c>
      <c r="N75" s="10">
        <f t="shared" si="7"/>
        <v>9.9999999999999645E-2</v>
      </c>
    </row>
    <row r="76" spans="1:14" x14ac:dyDescent="0.25">
      <c r="A76" s="20"/>
      <c r="B76" s="20"/>
      <c r="C76" s="21" t="s">
        <v>9</v>
      </c>
      <c r="D76" s="21">
        <v>1000</v>
      </c>
      <c r="E76" s="6">
        <v>4.53</v>
      </c>
      <c r="F76" s="6">
        <v>4.99</v>
      </c>
      <c r="H76" s="6">
        <v>4.59</v>
      </c>
      <c r="I76" s="6">
        <v>4.99</v>
      </c>
      <c r="K76" s="11">
        <f t="shared" si="4"/>
        <v>4534.99</v>
      </c>
      <c r="L76" s="10">
        <f t="shared" si="5"/>
        <v>4585.01</v>
      </c>
      <c r="M76" s="11">
        <f t="shared" si="6"/>
        <v>50.020000000000437</v>
      </c>
      <c r="N76" s="10">
        <f t="shared" si="7"/>
        <v>5.9999999999999609E-2</v>
      </c>
    </row>
    <row r="77" spans="1:14" s="4" customFormat="1" x14ac:dyDescent="0.25">
      <c r="A77" s="20"/>
      <c r="B77" s="20"/>
      <c r="C77" s="21" t="s">
        <v>28</v>
      </c>
      <c r="D77" s="21">
        <v>1000</v>
      </c>
      <c r="E77" s="6">
        <v>7.34</v>
      </c>
      <c r="F77" s="6">
        <v>4.99</v>
      </c>
      <c r="G77" s="38"/>
      <c r="H77" s="6">
        <v>7.39</v>
      </c>
      <c r="I77" s="6">
        <v>4.99</v>
      </c>
      <c r="J77" s="38"/>
      <c r="K77" s="11">
        <f t="shared" si="4"/>
        <v>7344.99</v>
      </c>
      <c r="L77" s="10">
        <f t="shared" si="5"/>
        <v>7385.01</v>
      </c>
      <c r="M77" s="11">
        <f t="shared" si="6"/>
        <v>40.020000000000437</v>
      </c>
      <c r="N77" s="10">
        <f t="shared" si="7"/>
        <v>4.9999999999999822E-2</v>
      </c>
    </row>
    <row r="78" spans="1:14" x14ac:dyDescent="0.25">
      <c r="A78" s="20"/>
      <c r="B78" s="20"/>
      <c r="C78" s="21" t="s">
        <v>9</v>
      </c>
      <c r="D78" s="21">
        <v>1000</v>
      </c>
      <c r="E78" s="6">
        <v>4.6500000000000004</v>
      </c>
      <c r="F78" s="6">
        <v>4.99</v>
      </c>
      <c r="H78" s="6">
        <v>4.7699999999999996</v>
      </c>
      <c r="I78" s="6">
        <v>4.99</v>
      </c>
      <c r="K78" s="11">
        <f t="shared" si="4"/>
        <v>4654.99</v>
      </c>
      <c r="L78" s="10">
        <f t="shared" si="5"/>
        <v>4765.01</v>
      </c>
      <c r="M78" s="11">
        <f t="shared" si="6"/>
        <v>110.02000000000044</v>
      </c>
      <c r="N78" s="10">
        <f t="shared" si="7"/>
        <v>0.11999999999999922</v>
      </c>
    </row>
    <row r="79" spans="1:14" x14ac:dyDescent="0.25">
      <c r="A79" s="20"/>
      <c r="B79" s="20"/>
      <c r="C79" s="21" t="s">
        <v>9</v>
      </c>
      <c r="D79" s="21">
        <v>1000</v>
      </c>
      <c r="E79" s="6">
        <v>4.67</v>
      </c>
      <c r="F79" s="6">
        <v>4.99</v>
      </c>
      <c r="H79" s="6">
        <v>4.71</v>
      </c>
      <c r="I79" s="6">
        <v>4.99</v>
      </c>
      <c r="K79" s="11">
        <f t="shared" si="4"/>
        <v>4674.99</v>
      </c>
      <c r="L79" s="10">
        <f t="shared" si="5"/>
        <v>4705.01</v>
      </c>
      <c r="M79" s="11">
        <f t="shared" si="6"/>
        <v>30.020000000000437</v>
      </c>
      <c r="N79" s="10">
        <f t="shared" si="7"/>
        <v>4.0000000000000036E-2</v>
      </c>
    </row>
    <row r="80" spans="1:14" s="4" customFormat="1" x14ac:dyDescent="0.25">
      <c r="A80" s="20">
        <v>41991</v>
      </c>
      <c r="B80" s="20"/>
      <c r="C80" s="21" t="s">
        <v>27</v>
      </c>
      <c r="D80" s="21">
        <v>1000</v>
      </c>
      <c r="E80" s="6">
        <v>3.22</v>
      </c>
      <c r="F80" s="6">
        <v>4.99</v>
      </c>
      <c r="G80" s="38"/>
      <c r="H80" s="6">
        <v>3.32</v>
      </c>
      <c r="I80" s="6">
        <v>4.99</v>
      </c>
      <c r="J80" s="38"/>
      <c r="K80" s="11">
        <f t="shared" si="4"/>
        <v>3224.99</v>
      </c>
      <c r="L80" s="10">
        <f t="shared" si="5"/>
        <v>3315.01</v>
      </c>
      <c r="M80" s="11">
        <f t="shared" si="6"/>
        <v>90.020000000000437</v>
      </c>
      <c r="N80" s="10">
        <f t="shared" si="7"/>
        <v>9.9999999999999645E-2</v>
      </c>
    </row>
    <row r="81" spans="1:14" s="4" customFormat="1" x14ac:dyDescent="0.25">
      <c r="A81" s="20"/>
      <c r="B81" s="20"/>
      <c r="C81" s="21" t="s">
        <v>9</v>
      </c>
      <c r="D81" s="21">
        <v>1000</v>
      </c>
      <c r="E81" s="6">
        <v>5.04</v>
      </c>
      <c r="F81" s="6">
        <v>4.99</v>
      </c>
      <c r="G81" s="38"/>
      <c r="H81" s="6">
        <v>5.18</v>
      </c>
      <c r="I81" s="6">
        <v>4.99</v>
      </c>
      <c r="J81" s="38"/>
      <c r="K81" s="11">
        <f t="shared" si="4"/>
        <v>5044.99</v>
      </c>
      <c r="L81" s="10">
        <f t="shared" si="5"/>
        <v>5175.01</v>
      </c>
      <c r="M81" s="11">
        <f t="shared" si="6"/>
        <v>130.02000000000044</v>
      </c>
      <c r="N81" s="10">
        <f t="shared" si="7"/>
        <v>0.13999999999999968</v>
      </c>
    </row>
    <row r="82" spans="1:14" x14ac:dyDescent="0.25">
      <c r="A82" s="20"/>
      <c r="B82" s="20"/>
      <c r="C82" s="21" t="s">
        <v>26</v>
      </c>
      <c r="D82" s="21">
        <v>1000</v>
      </c>
      <c r="E82" s="6">
        <v>8.36</v>
      </c>
      <c r="F82" s="6">
        <v>4.99</v>
      </c>
      <c r="H82" s="6">
        <v>8.3800000000000008</v>
      </c>
      <c r="I82" s="6">
        <v>4.99</v>
      </c>
      <c r="K82" s="11">
        <f t="shared" si="4"/>
        <v>8364.99</v>
      </c>
      <c r="L82" s="10">
        <f t="shared" si="5"/>
        <v>8375.01</v>
      </c>
      <c r="M82" s="11">
        <f t="shared" si="6"/>
        <v>10.020000000000437</v>
      </c>
      <c r="N82" s="10">
        <f t="shared" si="7"/>
        <v>2.000000000000135E-2</v>
      </c>
    </row>
    <row r="83" spans="1:14" s="4" customFormat="1" x14ac:dyDescent="0.25">
      <c r="A83" s="20"/>
      <c r="B83" s="20"/>
      <c r="C83" s="21" t="s">
        <v>9</v>
      </c>
      <c r="D83" s="21">
        <v>1000</v>
      </c>
      <c r="E83" s="6">
        <v>4.9400000000000004</v>
      </c>
      <c r="F83" s="6">
        <v>4.99</v>
      </c>
      <c r="G83" s="38"/>
      <c r="H83" s="6">
        <v>5.04</v>
      </c>
      <c r="I83" s="6">
        <v>4.99</v>
      </c>
      <c r="J83" s="38"/>
      <c r="K83" s="11">
        <f t="shared" si="4"/>
        <v>4944.99</v>
      </c>
      <c r="L83" s="10">
        <f t="shared" si="5"/>
        <v>5035.01</v>
      </c>
      <c r="M83" s="11">
        <f t="shared" si="6"/>
        <v>90.020000000000437</v>
      </c>
      <c r="N83" s="10">
        <f t="shared" si="7"/>
        <v>9.9999999999999645E-2</v>
      </c>
    </row>
    <row r="84" spans="1:14" s="4" customFormat="1" x14ac:dyDescent="0.25">
      <c r="A84" s="20"/>
      <c r="B84" s="20"/>
      <c r="C84" s="21" t="s">
        <v>26</v>
      </c>
      <c r="D84" s="21">
        <v>1000</v>
      </c>
      <c r="E84" s="6">
        <v>8.24</v>
      </c>
      <c r="F84" s="6">
        <v>4.99</v>
      </c>
      <c r="G84" s="38"/>
      <c r="H84" s="6">
        <v>8.2799999999999994</v>
      </c>
      <c r="I84" s="6">
        <v>4.99</v>
      </c>
      <c r="J84" s="38"/>
      <c r="K84" s="11">
        <f t="shared" si="4"/>
        <v>8244.99</v>
      </c>
      <c r="L84" s="10">
        <f t="shared" si="5"/>
        <v>8275.01</v>
      </c>
      <c r="M84" s="11">
        <f t="shared" si="6"/>
        <v>30.020000000000437</v>
      </c>
      <c r="N84" s="10">
        <f t="shared" si="7"/>
        <v>3.9999999999999147E-2</v>
      </c>
    </row>
    <row r="85" spans="1:14" s="4" customFormat="1" x14ac:dyDescent="0.25">
      <c r="A85" s="20"/>
      <c r="B85" s="20"/>
      <c r="C85" s="21" t="s">
        <v>27</v>
      </c>
      <c r="D85" s="21">
        <v>1000</v>
      </c>
      <c r="E85" s="6">
        <v>2.94</v>
      </c>
      <c r="F85" s="6">
        <v>4.99</v>
      </c>
      <c r="G85" s="38"/>
      <c r="H85" s="6">
        <v>3.09</v>
      </c>
      <c r="I85" s="6">
        <v>4.99</v>
      </c>
      <c r="J85" s="38"/>
      <c r="K85" s="11">
        <f t="shared" si="4"/>
        <v>2944.99</v>
      </c>
      <c r="L85" s="10">
        <f t="shared" si="5"/>
        <v>3085.01</v>
      </c>
      <c r="M85" s="11">
        <f t="shared" si="6"/>
        <v>140.02000000000044</v>
      </c>
      <c r="N85" s="10">
        <f t="shared" si="7"/>
        <v>0.14999999999999991</v>
      </c>
    </row>
    <row r="86" spans="1:14" s="4" customFormat="1" x14ac:dyDescent="0.25">
      <c r="A86" s="20"/>
      <c r="B86" s="20"/>
      <c r="C86" s="21" t="s">
        <v>26</v>
      </c>
      <c r="D86" s="21">
        <v>1000</v>
      </c>
      <c r="E86" s="6">
        <v>8.26</v>
      </c>
      <c r="F86" s="6">
        <v>4.99</v>
      </c>
      <c r="G86" s="38"/>
      <c r="H86" s="6">
        <v>8.32</v>
      </c>
      <c r="I86" s="6">
        <v>4.99</v>
      </c>
      <c r="J86" s="38"/>
      <c r="K86" s="11">
        <f t="shared" si="4"/>
        <v>8264.99</v>
      </c>
      <c r="L86" s="10">
        <f t="shared" si="5"/>
        <v>8315.01</v>
      </c>
      <c r="M86" s="11">
        <f t="shared" si="6"/>
        <v>50.020000000000437</v>
      </c>
      <c r="N86" s="10">
        <f t="shared" si="7"/>
        <v>6.0000000000000497E-2</v>
      </c>
    </row>
    <row r="87" spans="1:14" s="4" customFormat="1" x14ac:dyDescent="0.25">
      <c r="A87" s="20"/>
      <c r="B87" s="20"/>
      <c r="C87" s="21" t="s">
        <v>40</v>
      </c>
      <c r="D87" s="21">
        <v>1500</v>
      </c>
      <c r="E87" s="6">
        <v>2.54</v>
      </c>
      <c r="F87" s="6">
        <v>4.99</v>
      </c>
      <c r="G87" s="38"/>
      <c r="H87" s="6">
        <v>2.58</v>
      </c>
      <c r="I87" s="6">
        <v>4.99</v>
      </c>
      <c r="J87" s="38"/>
      <c r="K87" s="11">
        <f t="shared" si="4"/>
        <v>3814.99</v>
      </c>
      <c r="L87" s="10">
        <f t="shared" si="5"/>
        <v>3865.01</v>
      </c>
      <c r="M87" s="11">
        <f t="shared" si="6"/>
        <v>50.020000000000437</v>
      </c>
      <c r="N87" s="10">
        <f t="shared" si="7"/>
        <v>4.0000000000000036E-2</v>
      </c>
    </row>
    <row r="88" spans="1:14" s="4" customFormat="1" x14ac:dyDescent="0.25">
      <c r="A88" s="20">
        <v>41992</v>
      </c>
      <c r="B88" s="20"/>
      <c r="C88" s="21" t="s">
        <v>26</v>
      </c>
      <c r="D88" s="21">
        <v>1000</v>
      </c>
      <c r="E88" s="6">
        <v>7.59</v>
      </c>
      <c r="F88" s="6">
        <v>4.99</v>
      </c>
      <c r="G88" s="38"/>
      <c r="H88" s="6">
        <v>7.71</v>
      </c>
      <c r="I88" s="6">
        <v>4.99</v>
      </c>
      <c r="J88" s="38"/>
      <c r="K88" s="11">
        <f t="shared" si="4"/>
        <v>7594.99</v>
      </c>
      <c r="L88" s="10">
        <f t="shared" si="5"/>
        <v>7705.01</v>
      </c>
      <c r="M88" s="11">
        <f t="shared" si="6"/>
        <v>110.02000000000044</v>
      </c>
      <c r="N88" s="10">
        <f t="shared" si="7"/>
        <v>0.12000000000000011</v>
      </c>
    </row>
    <row r="89" spans="1:14" s="4" customFormat="1" x14ac:dyDescent="0.25">
      <c r="A89" s="20"/>
      <c r="B89" s="20"/>
      <c r="C89" s="21" t="s">
        <v>9</v>
      </c>
      <c r="D89" s="21">
        <v>1000</v>
      </c>
      <c r="E89" s="6">
        <v>5.16</v>
      </c>
      <c r="F89" s="6">
        <v>4.99</v>
      </c>
      <c r="G89" s="38"/>
      <c r="H89" s="6">
        <v>5.32</v>
      </c>
      <c r="I89" s="6">
        <v>4.99</v>
      </c>
      <c r="J89" s="38"/>
      <c r="K89" s="11">
        <f t="shared" si="4"/>
        <v>5164.99</v>
      </c>
      <c r="L89" s="10">
        <f t="shared" si="5"/>
        <v>5315.01</v>
      </c>
      <c r="M89" s="11">
        <f t="shared" si="6"/>
        <v>150.02000000000044</v>
      </c>
      <c r="N89" s="10">
        <f t="shared" si="7"/>
        <v>0.16000000000000014</v>
      </c>
    </row>
    <row r="90" spans="1:14" s="4" customFormat="1" x14ac:dyDescent="0.25">
      <c r="A90" s="20"/>
      <c r="B90" s="20"/>
      <c r="C90" s="21" t="s">
        <v>9</v>
      </c>
      <c r="D90" s="21">
        <v>1000</v>
      </c>
      <c r="E90" s="6">
        <v>5.3</v>
      </c>
      <c r="F90" s="6">
        <v>4.99</v>
      </c>
      <c r="G90" s="38"/>
      <c r="H90" s="6">
        <v>5.37</v>
      </c>
      <c r="I90" s="6">
        <v>4.99</v>
      </c>
      <c r="J90" s="38"/>
      <c r="K90" s="11">
        <f t="shared" si="4"/>
        <v>5304.99</v>
      </c>
      <c r="L90" s="10">
        <f t="shared" si="5"/>
        <v>5365.01</v>
      </c>
      <c r="M90" s="11">
        <f t="shared" si="6"/>
        <v>60.020000000000437</v>
      </c>
      <c r="N90" s="10">
        <f t="shared" si="7"/>
        <v>7.0000000000000284E-2</v>
      </c>
    </row>
    <row r="91" spans="1:14" s="4" customFormat="1" x14ac:dyDescent="0.25">
      <c r="A91" s="20"/>
      <c r="B91" s="20"/>
      <c r="C91" s="21" t="s">
        <v>27</v>
      </c>
      <c r="D91" s="21">
        <v>1000</v>
      </c>
      <c r="E91" s="6">
        <v>3.08</v>
      </c>
      <c r="F91" s="6">
        <v>4.99</v>
      </c>
      <c r="G91" s="38"/>
      <c r="H91" s="6">
        <v>3.12</v>
      </c>
      <c r="I91" s="6">
        <v>4.99</v>
      </c>
      <c r="J91" s="38"/>
      <c r="K91" s="11">
        <f t="shared" si="4"/>
        <v>3084.99</v>
      </c>
      <c r="L91" s="10">
        <f t="shared" si="5"/>
        <v>3115.01</v>
      </c>
      <c r="M91" s="11">
        <f t="shared" si="6"/>
        <v>30.020000000000437</v>
      </c>
      <c r="N91" s="10">
        <f t="shared" si="7"/>
        <v>4.0000000000000036E-2</v>
      </c>
    </row>
    <row r="92" spans="1:14" s="4" customFormat="1" x14ac:dyDescent="0.25">
      <c r="A92" s="20"/>
      <c r="B92" s="20"/>
      <c r="C92" s="21" t="s">
        <v>40</v>
      </c>
      <c r="D92" s="21">
        <v>1500</v>
      </c>
      <c r="E92" s="6">
        <v>2.58</v>
      </c>
      <c r="F92" s="6">
        <v>4.99</v>
      </c>
      <c r="G92" s="38"/>
      <c r="H92" s="6">
        <v>2.5099999999999998</v>
      </c>
      <c r="I92" s="6">
        <v>4.99</v>
      </c>
      <c r="J92" s="38"/>
      <c r="K92" s="11">
        <f t="shared" si="4"/>
        <v>3874.99</v>
      </c>
      <c r="L92" s="10">
        <f t="shared" si="5"/>
        <v>3760.0099999999998</v>
      </c>
      <c r="M92" s="11">
        <f t="shared" si="6"/>
        <v>-114.98000000000002</v>
      </c>
      <c r="N92" s="10">
        <f t="shared" si="7"/>
        <v>-7.0000000000000284E-2</v>
      </c>
    </row>
    <row r="93" spans="1:14" s="4" customFormat="1" x14ac:dyDescent="0.25">
      <c r="A93" s="20"/>
      <c r="B93" s="20"/>
      <c r="C93" s="48" t="s">
        <v>26</v>
      </c>
      <c r="D93" s="21">
        <v>1000</v>
      </c>
      <c r="E93" s="6">
        <v>7.65</v>
      </c>
      <c r="F93" s="6">
        <v>4.99</v>
      </c>
      <c r="G93" s="38"/>
      <c r="H93" s="6"/>
      <c r="I93" s="6">
        <v>4.99</v>
      </c>
      <c r="J93" s="38"/>
      <c r="K93" s="11">
        <f t="shared" si="4"/>
        <v>7654.99</v>
      </c>
      <c r="L93" s="10">
        <f t="shared" si="5"/>
        <v>0</v>
      </c>
      <c r="M93" s="11">
        <f t="shared" si="6"/>
        <v>0</v>
      </c>
      <c r="N93" s="10">
        <f t="shared" si="7"/>
        <v>0</v>
      </c>
    </row>
    <row r="94" spans="1:14" s="4" customFormat="1" x14ac:dyDescent="0.25">
      <c r="A94" s="20"/>
      <c r="B94" s="20"/>
      <c r="C94" s="21" t="s">
        <v>26</v>
      </c>
      <c r="D94" s="21">
        <v>1000</v>
      </c>
      <c r="E94" s="6">
        <v>7.46</v>
      </c>
      <c r="F94" s="6">
        <v>4.99</v>
      </c>
      <c r="G94" s="38"/>
      <c r="H94" s="6">
        <v>7.48</v>
      </c>
      <c r="I94" s="6">
        <v>4.99</v>
      </c>
      <c r="J94" s="38"/>
      <c r="K94" s="11">
        <f t="shared" si="4"/>
        <v>7464.99</v>
      </c>
      <c r="L94" s="10">
        <f t="shared" si="5"/>
        <v>7475.01</v>
      </c>
      <c r="M94" s="11">
        <f t="shared" si="6"/>
        <v>10.020000000000437</v>
      </c>
      <c r="N94" s="10">
        <f t="shared" si="7"/>
        <v>2.0000000000000462E-2</v>
      </c>
    </row>
    <row r="95" spans="1:14" s="4" customFormat="1" x14ac:dyDescent="0.25">
      <c r="A95" s="20"/>
      <c r="B95" s="20"/>
      <c r="C95" s="48" t="s">
        <v>27</v>
      </c>
      <c r="D95" s="21">
        <v>2000</v>
      </c>
      <c r="E95" s="6">
        <v>3.32</v>
      </c>
      <c r="F95" s="6">
        <v>4.99</v>
      </c>
      <c r="G95" s="38"/>
      <c r="H95" s="6"/>
      <c r="I95" s="6">
        <v>4.99</v>
      </c>
      <c r="J95" s="38"/>
      <c r="K95" s="11">
        <f t="shared" si="4"/>
        <v>6644.99</v>
      </c>
      <c r="L95" s="10">
        <f t="shared" si="5"/>
        <v>0</v>
      </c>
      <c r="M95" s="11">
        <f t="shared" si="6"/>
        <v>0</v>
      </c>
      <c r="N95" s="10">
        <f t="shared" si="7"/>
        <v>0</v>
      </c>
    </row>
    <row r="96" spans="1:14" x14ac:dyDescent="0.25">
      <c r="A96" s="20">
        <v>357</v>
      </c>
      <c r="B96" s="20"/>
      <c r="C96" s="21" t="s">
        <v>26</v>
      </c>
      <c r="D96" s="21">
        <v>1000</v>
      </c>
      <c r="E96" s="6">
        <v>6.25</v>
      </c>
      <c r="F96" s="6">
        <v>4.99</v>
      </c>
      <c r="H96" s="6">
        <v>6.31</v>
      </c>
      <c r="I96" s="6">
        <v>4.99</v>
      </c>
      <c r="K96" s="11">
        <f t="shared" si="4"/>
        <v>6254.99</v>
      </c>
      <c r="L96" s="10">
        <f t="shared" si="5"/>
        <v>6305.01</v>
      </c>
      <c r="M96" s="11">
        <f t="shared" si="6"/>
        <v>50.020000000000437</v>
      </c>
      <c r="N96" s="10">
        <f t="shared" si="7"/>
        <v>5.9999999999999609E-2</v>
      </c>
    </row>
    <row r="97" spans="1:14" x14ac:dyDescent="0.25">
      <c r="A97" s="20"/>
      <c r="B97" s="20"/>
      <c r="C97" s="21" t="s">
        <v>26</v>
      </c>
      <c r="D97" s="21">
        <v>1000</v>
      </c>
      <c r="E97" s="6">
        <v>6.27</v>
      </c>
      <c r="F97" s="6">
        <v>4.99</v>
      </c>
      <c r="H97" s="6">
        <v>6.34</v>
      </c>
      <c r="I97" s="6">
        <v>4.99</v>
      </c>
      <c r="K97" s="11">
        <f t="shared" si="4"/>
        <v>6274.99</v>
      </c>
      <c r="L97" s="10">
        <f t="shared" si="5"/>
        <v>6335.01</v>
      </c>
      <c r="M97" s="11">
        <f t="shared" si="6"/>
        <v>60.020000000000437</v>
      </c>
      <c r="N97" s="10">
        <f t="shared" si="7"/>
        <v>7.0000000000000284E-2</v>
      </c>
    </row>
    <row r="98" spans="1:14" x14ac:dyDescent="0.25">
      <c r="A98" s="20"/>
      <c r="B98" s="20"/>
      <c r="C98" s="21" t="s">
        <v>26</v>
      </c>
      <c r="D98" s="21">
        <v>1000</v>
      </c>
      <c r="E98" s="6">
        <v>6.38</v>
      </c>
      <c r="F98" s="6">
        <v>4.99</v>
      </c>
      <c r="H98" s="6">
        <v>6.46</v>
      </c>
      <c r="I98" s="6">
        <v>4.99</v>
      </c>
      <c r="K98" s="11">
        <f t="shared" si="4"/>
        <v>6384.99</v>
      </c>
      <c r="L98" s="10">
        <f t="shared" si="5"/>
        <v>6455.01</v>
      </c>
      <c r="M98" s="11">
        <f t="shared" si="6"/>
        <v>70.020000000000437</v>
      </c>
      <c r="N98" s="10">
        <f t="shared" si="7"/>
        <v>8.0000000000000071E-2</v>
      </c>
    </row>
    <row r="99" spans="1:14" x14ac:dyDescent="0.25">
      <c r="A99" s="20"/>
      <c r="B99" s="20"/>
      <c r="C99" s="21" t="s">
        <v>26</v>
      </c>
      <c r="D99" s="21">
        <v>1000</v>
      </c>
      <c r="E99" s="6">
        <v>6.44</v>
      </c>
      <c r="F99" s="6">
        <v>4.99</v>
      </c>
      <c r="H99" s="6">
        <v>6.54</v>
      </c>
      <c r="I99" s="6">
        <v>4.99</v>
      </c>
      <c r="K99" s="11">
        <f t="shared" si="4"/>
        <v>6444.99</v>
      </c>
      <c r="L99" s="10">
        <f t="shared" si="5"/>
        <v>6535.01</v>
      </c>
      <c r="M99" s="11">
        <f t="shared" si="6"/>
        <v>90.020000000000437</v>
      </c>
      <c r="N99" s="10">
        <f t="shared" si="7"/>
        <v>9.9999999999999645E-2</v>
      </c>
    </row>
    <row r="100" spans="1:14" x14ac:dyDescent="0.25">
      <c r="A100" s="20"/>
      <c r="B100" s="20"/>
      <c r="C100" s="21" t="s">
        <v>26</v>
      </c>
      <c r="D100" s="21">
        <v>1000</v>
      </c>
      <c r="E100" s="6">
        <v>6.39</v>
      </c>
      <c r="F100" s="6">
        <v>4.99</v>
      </c>
      <c r="H100" s="6">
        <v>6.17</v>
      </c>
      <c r="I100" s="6">
        <v>4.99</v>
      </c>
      <c r="K100" s="11">
        <f t="shared" si="4"/>
        <v>6394.99</v>
      </c>
      <c r="L100" s="10">
        <f t="shared" si="5"/>
        <v>6165.01</v>
      </c>
      <c r="M100" s="11">
        <f t="shared" si="6"/>
        <v>-229.97999999999956</v>
      </c>
      <c r="N100" s="10">
        <f t="shared" si="7"/>
        <v>-0.21999999999999975</v>
      </c>
    </row>
    <row r="101" spans="1:14" x14ac:dyDescent="0.25">
      <c r="A101" s="20">
        <v>42361</v>
      </c>
      <c r="B101" s="20"/>
      <c r="C101" s="21" t="s">
        <v>26</v>
      </c>
      <c r="D101" s="21">
        <v>1000</v>
      </c>
      <c r="E101" s="6">
        <v>6.1</v>
      </c>
      <c r="F101" s="6">
        <v>4.99</v>
      </c>
      <c r="H101" s="6">
        <v>6</v>
      </c>
      <c r="I101" s="6">
        <v>4.99</v>
      </c>
      <c r="K101" s="11">
        <f t="shared" si="4"/>
        <v>6104.99</v>
      </c>
      <c r="L101" s="10">
        <f t="shared" si="5"/>
        <v>5995.01</v>
      </c>
      <c r="M101" s="11">
        <f t="shared" si="6"/>
        <v>-109.97999999999956</v>
      </c>
      <c r="N101" s="10">
        <f t="shared" si="7"/>
        <v>-9.9999999999999645E-2</v>
      </c>
    </row>
    <row r="102" spans="1:14" x14ac:dyDescent="0.25">
      <c r="A102" s="20"/>
      <c r="B102" s="20"/>
      <c r="C102" s="21" t="s">
        <v>40</v>
      </c>
      <c r="D102" s="21">
        <v>1000</v>
      </c>
      <c r="E102" s="6">
        <v>2.34</v>
      </c>
      <c r="F102" s="6">
        <v>4.99</v>
      </c>
      <c r="H102" s="6">
        <v>2.35</v>
      </c>
      <c r="I102" s="6">
        <v>4.99</v>
      </c>
      <c r="K102" s="11">
        <f t="shared" si="4"/>
        <v>2344.9899999999998</v>
      </c>
      <c r="L102" s="10">
        <f t="shared" si="5"/>
        <v>2345.0100000000002</v>
      </c>
      <c r="M102" s="11">
        <f t="shared" si="6"/>
        <v>2.0000000000436557E-2</v>
      </c>
      <c r="N102" s="10">
        <f t="shared" si="7"/>
        <v>1.0000000000000231E-2</v>
      </c>
    </row>
    <row r="103" spans="1:14" s="4" customFormat="1" x14ac:dyDescent="0.25">
      <c r="A103" s="20"/>
      <c r="B103" s="20"/>
      <c r="C103" s="21" t="s">
        <v>26</v>
      </c>
      <c r="D103" s="21">
        <v>1000</v>
      </c>
      <c r="E103" s="6">
        <v>6.14</v>
      </c>
      <c r="F103" s="6">
        <v>4.99</v>
      </c>
      <c r="G103" s="38"/>
      <c r="H103" s="6">
        <v>6.16</v>
      </c>
      <c r="I103" s="6">
        <v>4.99</v>
      </c>
      <c r="J103" s="38"/>
      <c r="K103" s="11">
        <f t="shared" si="4"/>
        <v>6144.99</v>
      </c>
      <c r="L103" s="10">
        <f t="shared" si="5"/>
        <v>6155.01</v>
      </c>
      <c r="M103" s="11">
        <f t="shared" si="6"/>
        <v>10.020000000000437</v>
      </c>
      <c r="N103" s="10">
        <f t="shared" si="7"/>
        <v>2.0000000000000462E-2</v>
      </c>
    </row>
    <row r="104" spans="1:14" x14ac:dyDescent="0.25">
      <c r="A104" s="20"/>
      <c r="B104" s="20"/>
      <c r="C104" s="21" t="s">
        <v>42</v>
      </c>
      <c r="D104" s="21">
        <v>1000</v>
      </c>
      <c r="F104" s="6">
        <v>4.99</v>
      </c>
      <c r="H104" s="6">
        <v>0.34</v>
      </c>
      <c r="I104" s="6">
        <v>4.99</v>
      </c>
      <c r="K104" s="11">
        <f t="shared" si="4"/>
        <v>4.99</v>
      </c>
      <c r="L104" s="10">
        <f t="shared" si="5"/>
        <v>335.01</v>
      </c>
      <c r="M104" s="11">
        <f t="shared" si="6"/>
        <v>330.02</v>
      </c>
      <c r="N104" s="10">
        <f t="shared" si="7"/>
        <v>0.34</v>
      </c>
    </row>
    <row r="105" spans="1:14" s="4" customFormat="1" x14ac:dyDescent="0.25">
      <c r="A105" s="20"/>
      <c r="B105" s="20"/>
      <c r="C105" s="21" t="s">
        <v>26</v>
      </c>
      <c r="D105" s="21">
        <v>1000</v>
      </c>
      <c r="E105" s="6">
        <v>6.24</v>
      </c>
      <c r="F105" s="6">
        <v>4.99</v>
      </c>
      <c r="G105" s="38"/>
      <c r="H105" s="6">
        <v>6.06</v>
      </c>
      <c r="I105" s="6">
        <v>4.99</v>
      </c>
      <c r="J105" s="38"/>
      <c r="K105" s="11">
        <f t="shared" si="4"/>
        <v>6244.99</v>
      </c>
      <c r="L105" s="10">
        <f t="shared" si="5"/>
        <v>6055.01</v>
      </c>
      <c r="M105" s="11">
        <f t="shared" si="6"/>
        <v>-189.97999999999956</v>
      </c>
      <c r="N105" s="10">
        <f t="shared" si="7"/>
        <v>-0.1800000000000006</v>
      </c>
    </row>
    <row r="106" spans="1:14" x14ac:dyDescent="0.25">
      <c r="A106" s="20">
        <v>42362</v>
      </c>
      <c r="B106" s="20"/>
      <c r="C106" s="21" t="s">
        <v>40</v>
      </c>
      <c r="D106" s="21">
        <v>1500</v>
      </c>
      <c r="E106" s="6">
        <v>2.41</v>
      </c>
      <c r="F106" s="6">
        <v>4.99</v>
      </c>
      <c r="H106" s="6">
        <v>2.4500000000000002</v>
      </c>
      <c r="I106" s="6">
        <v>4.99</v>
      </c>
      <c r="K106" s="11">
        <f t="shared" si="4"/>
        <v>3619.99</v>
      </c>
      <c r="L106" s="10">
        <f t="shared" si="5"/>
        <v>3670.0100000000007</v>
      </c>
      <c r="M106" s="11">
        <f t="shared" si="6"/>
        <v>50.020000000000891</v>
      </c>
      <c r="N106" s="10">
        <f t="shared" si="7"/>
        <v>4.0000000000000036E-2</v>
      </c>
    </row>
    <row r="107" spans="1:14" x14ac:dyDescent="0.25">
      <c r="A107" s="20">
        <v>42364</v>
      </c>
      <c r="B107" s="20"/>
      <c r="C107" s="21" t="s">
        <v>40</v>
      </c>
      <c r="D107" s="21">
        <v>1500</v>
      </c>
      <c r="E107" s="6">
        <v>2.44</v>
      </c>
      <c r="F107" s="6">
        <v>4.99</v>
      </c>
      <c r="H107" s="6">
        <v>2.4700000000000002</v>
      </c>
      <c r="I107" s="6">
        <v>4.99</v>
      </c>
      <c r="K107" s="11">
        <f t="shared" si="4"/>
        <v>3664.99</v>
      </c>
      <c r="L107" s="10">
        <f t="shared" si="5"/>
        <v>3700.0100000000007</v>
      </c>
      <c r="M107" s="11">
        <f t="shared" si="6"/>
        <v>35.020000000000891</v>
      </c>
      <c r="N107" s="10">
        <f t="shared" si="7"/>
        <v>3.0000000000000249E-2</v>
      </c>
    </row>
    <row r="108" spans="1:14" x14ac:dyDescent="0.25">
      <c r="A108" s="20">
        <v>42367</v>
      </c>
      <c r="B108" s="20"/>
      <c r="C108" s="21" t="s">
        <v>40</v>
      </c>
      <c r="D108" s="21">
        <v>1500</v>
      </c>
      <c r="E108" s="6">
        <v>2.4300000000000002</v>
      </c>
      <c r="F108" s="6">
        <v>4.99</v>
      </c>
      <c r="H108" s="6">
        <v>2.4500000000000002</v>
      </c>
      <c r="I108" s="6">
        <v>4.99</v>
      </c>
      <c r="K108" s="11">
        <f t="shared" si="4"/>
        <v>3649.9900000000002</v>
      </c>
      <c r="L108" s="10">
        <f t="shared" si="5"/>
        <v>3670.0100000000007</v>
      </c>
      <c r="M108" s="11">
        <f t="shared" si="6"/>
        <v>20.020000000000437</v>
      </c>
      <c r="N108" s="10">
        <f t="shared" si="7"/>
        <v>2.0000000000000018E-2</v>
      </c>
    </row>
    <row r="109" spans="1:14" x14ac:dyDescent="0.25">
      <c r="A109" s="20"/>
      <c r="B109" s="20"/>
      <c r="C109" s="21" t="s">
        <v>40</v>
      </c>
      <c r="D109" s="21">
        <v>1500</v>
      </c>
      <c r="E109" s="6">
        <v>2.42</v>
      </c>
      <c r="F109" s="6">
        <v>4.99</v>
      </c>
      <c r="H109" s="6">
        <v>2.56</v>
      </c>
      <c r="I109" s="6">
        <v>4.99</v>
      </c>
      <c r="K109" s="11">
        <f t="shared" si="4"/>
        <v>3634.99</v>
      </c>
      <c r="L109" s="10">
        <f t="shared" si="5"/>
        <v>3835.01</v>
      </c>
      <c r="M109" s="11">
        <f t="shared" si="6"/>
        <v>200.02000000000044</v>
      </c>
      <c r="N109" s="10">
        <f t="shared" si="7"/>
        <v>0.14000000000000012</v>
      </c>
    </row>
    <row r="110" spans="1:14" x14ac:dyDescent="0.25">
      <c r="A110" s="20">
        <v>42368</v>
      </c>
      <c r="B110" s="20"/>
      <c r="C110" s="21" t="s">
        <v>41</v>
      </c>
      <c r="D110" s="21">
        <v>1000</v>
      </c>
      <c r="E110" s="6">
        <v>4.79</v>
      </c>
      <c r="F110" s="6">
        <v>4.99</v>
      </c>
      <c r="H110" s="6">
        <v>4.8099999999999996</v>
      </c>
      <c r="I110" s="6">
        <v>4.99</v>
      </c>
      <c r="K110" s="11">
        <f t="shared" si="4"/>
        <v>4794.99</v>
      </c>
      <c r="L110" s="10">
        <f t="shared" si="5"/>
        <v>4805.01</v>
      </c>
      <c r="M110" s="11">
        <f t="shared" si="6"/>
        <v>10.020000000000437</v>
      </c>
      <c r="N110" s="10">
        <f t="shared" si="7"/>
        <v>1.9999999999999574E-2</v>
      </c>
    </row>
    <row r="111" spans="1:14" x14ac:dyDescent="0.25">
      <c r="A111" s="20">
        <v>42369</v>
      </c>
      <c r="B111" s="20"/>
      <c r="C111" s="21" t="s">
        <v>41</v>
      </c>
      <c r="D111" s="21">
        <v>500</v>
      </c>
      <c r="E111" s="6">
        <v>4.38</v>
      </c>
      <c r="F111" s="6">
        <v>4.99</v>
      </c>
      <c r="H111" s="6">
        <v>4.41</v>
      </c>
      <c r="I111" s="6">
        <v>4.99</v>
      </c>
      <c r="K111" s="11">
        <f t="shared" si="4"/>
        <v>2194.9899999999998</v>
      </c>
      <c r="L111" s="10">
        <f t="shared" si="5"/>
        <v>2200.0100000000002</v>
      </c>
      <c r="M111" s="11">
        <f t="shared" si="6"/>
        <v>5.0200000000004366</v>
      </c>
      <c r="N111" s="10">
        <f t="shared" si="7"/>
        <v>3.0000000000000249E-2</v>
      </c>
    </row>
    <row r="112" spans="1:14" x14ac:dyDescent="0.25">
      <c r="A112" s="20"/>
      <c r="B112" s="20"/>
      <c r="C112" s="21" t="s">
        <v>27</v>
      </c>
      <c r="D112" s="21">
        <v>1000</v>
      </c>
      <c r="E112" s="6">
        <v>2.69</v>
      </c>
      <c r="F112" s="6">
        <v>4.99</v>
      </c>
      <c r="H112" s="6">
        <v>2.75</v>
      </c>
      <c r="I112" s="6">
        <v>4.99</v>
      </c>
      <c r="K112" s="11">
        <f t="shared" si="4"/>
        <v>2694.99</v>
      </c>
      <c r="L112" s="10">
        <f t="shared" si="5"/>
        <v>2745.01</v>
      </c>
      <c r="M112" s="11">
        <f t="shared" si="6"/>
        <v>50.020000000000437</v>
      </c>
      <c r="N112" s="10">
        <f t="shared" si="7"/>
        <v>6.0000000000000053E-2</v>
      </c>
    </row>
    <row r="113" spans="1:14" x14ac:dyDescent="0.25">
      <c r="A113" s="20"/>
      <c r="B113" s="20"/>
      <c r="C113" s="21" t="s">
        <v>41</v>
      </c>
      <c r="D113" s="21">
        <v>500</v>
      </c>
      <c r="E113" s="6">
        <v>3.99</v>
      </c>
      <c r="F113" s="6">
        <v>4.99</v>
      </c>
      <c r="H113" s="6">
        <v>4.21</v>
      </c>
      <c r="I113" s="6">
        <v>4.99</v>
      </c>
      <c r="K113" s="11">
        <f t="shared" si="4"/>
        <v>1999.99</v>
      </c>
      <c r="L113" s="10">
        <f t="shared" si="5"/>
        <v>2100.0100000000002</v>
      </c>
      <c r="M113" s="11">
        <f t="shared" si="6"/>
        <v>100.02000000000021</v>
      </c>
      <c r="N113" s="10">
        <f t="shared" si="7"/>
        <v>0.21999999999999975</v>
      </c>
    </row>
    <row r="114" spans="1:14" x14ac:dyDescent="0.25">
      <c r="A114" s="20">
        <v>42006</v>
      </c>
      <c r="B114" s="20"/>
      <c r="C114" s="21" t="s">
        <v>41</v>
      </c>
      <c r="D114" s="21">
        <v>1000</v>
      </c>
      <c r="E114" s="6">
        <v>4.4000000000000004</v>
      </c>
      <c r="F114" s="6">
        <v>4.99</v>
      </c>
      <c r="H114" s="6">
        <v>4.4400000000000004</v>
      </c>
      <c r="I114" s="6">
        <v>4.99</v>
      </c>
      <c r="K114" s="11">
        <f t="shared" si="4"/>
        <v>4404.99</v>
      </c>
      <c r="L114" s="10">
        <f t="shared" si="5"/>
        <v>4435.01</v>
      </c>
      <c r="M114" s="11">
        <f t="shared" si="6"/>
        <v>30.020000000000437</v>
      </c>
      <c r="N114" s="10">
        <f t="shared" si="7"/>
        <v>4.0000000000000036E-2</v>
      </c>
    </row>
    <row r="115" spans="1:14" x14ac:dyDescent="0.25">
      <c r="A115" s="20"/>
      <c r="B115" s="20"/>
      <c r="C115" s="21" t="s">
        <v>41</v>
      </c>
      <c r="D115" s="21">
        <v>1000</v>
      </c>
      <c r="E115" s="6">
        <v>4.5</v>
      </c>
      <c r="F115" s="6">
        <v>4.99</v>
      </c>
      <c r="H115" s="6">
        <v>4.55</v>
      </c>
      <c r="I115" s="6">
        <v>4.99</v>
      </c>
      <c r="K115" s="11">
        <f t="shared" si="4"/>
        <v>4504.99</v>
      </c>
      <c r="L115" s="10">
        <f t="shared" si="5"/>
        <v>4545.01</v>
      </c>
      <c r="M115" s="11">
        <f t="shared" si="6"/>
        <v>40.020000000000437</v>
      </c>
      <c r="N115" s="10">
        <f t="shared" si="7"/>
        <v>4.9999999999999822E-2</v>
      </c>
    </row>
    <row r="116" spans="1:14" x14ac:dyDescent="0.25">
      <c r="A116" s="20"/>
      <c r="B116" s="20"/>
      <c r="C116" s="21" t="s">
        <v>27</v>
      </c>
      <c r="D116" s="21">
        <v>1000</v>
      </c>
      <c r="E116" s="6">
        <v>2.72</v>
      </c>
      <c r="F116" s="6">
        <v>4.99</v>
      </c>
      <c r="I116" s="6">
        <v>4.99</v>
      </c>
      <c r="K116" s="11">
        <f t="shared" si="4"/>
        <v>2724.99</v>
      </c>
      <c r="L116" s="10">
        <f t="shared" si="5"/>
        <v>0</v>
      </c>
      <c r="M116" s="11">
        <f t="shared" si="6"/>
        <v>0</v>
      </c>
      <c r="N116" s="10">
        <f t="shared" si="7"/>
        <v>0</v>
      </c>
    </row>
    <row r="117" spans="1:14" x14ac:dyDescent="0.25">
      <c r="A117" s="20"/>
      <c r="B117" s="20"/>
      <c r="C117" s="21" t="s">
        <v>9</v>
      </c>
      <c r="D117" s="21">
        <v>1000</v>
      </c>
      <c r="E117" s="6">
        <v>5.26</v>
      </c>
      <c r="F117" s="6">
        <v>4.99</v>
      </c>
      <c r="H117" s="6">
        <v>5.36</v>
      </c>
      <c r="I117" s="6">
        <v>4.99</v>
      </c>
      <c r="K117" s="11">
        <f t="shared" si="4"/>
        <v>5264.99</v>
      </c>
      <c r="L117" s="10">
        <f t="shared" si="5"/>
        <v>5355.01</v>
      </c>
      <c r="M117" s="11">
        <f t="shared" si="6"/>
        <v>90.020000000000437</v>
      </c>
      <c r="N117" s="10">
        <f t="shared" si="7"/>
        <v>0.10000000000000053</v>
      </c>
    </row>
    <row r="118" spans="1:14" x14ac:dyDescent="0.25">
      <c r="A118" s="20"/>
      <c r="B118" s="20"/>
      <c r="C118" s="21" t="s">
        <v>41</v>
      </c>
      <c r="D118" s="21">
        <v>500</v>
      </c>
      <c r="E118" s="6">
        <v>4.2</v>
      </c>
      <c r="F118" s="6">
        <v>4.99</v>
      </c>
      <c r="H118" s="6">
        <v>4.2300000000000004</v>
      </c>
      <c r="I118" s="6">
        <v>4.99</v>
      </c>
      <c r="K118" s="11">
        <f t="shared" si="4"/>
        <v>2104.9899999999998</v>
      </c>
      <c r="L118" s="10">
        <f t="shared" si="5"/>
        <v>2110.0100000000002</v>
      </c>
      <c r="M118" s="11">
        <f t="shared" si="6"/>
        <v>5.0200000000004366</v>
      </c>
      <c r="N118" s="10">
        <f t="shared" si="7"/>
        <v>3.0000000000000249E-2</v>
      </c>
    </row>
    <row r="119" spans="1:14" x14ac:dyDescent="0.25">
      <c r="A119" s="20">
        <v>42009</v>
      </c>
      <c r="B119" s="20"/>
      <c r="C119" s="21" t="s">
        <v>43</v>
      </c>
      <c r="D119" s="21">
        <v>500</v>
      </c>
      <c r="E119" s="6">
        <v>4.07</v>
      </c>
      <c r="F119" s="6">
        <v>4.99</v>
      </c>
      <c r="H119" s="6">
        <v>4.21</v>
      </c>
      <c r="I119" s="6">
        <v>4.99</v>
      </c>
      <c r="K119" s="11">
        <f t="shared" si="4"/>
        <v>2039.9900000000002</v>
      </c>
      <c r="L119" s="10">
        <f t="shared" si="5"/>
        <v>2100.0100000000002</v>
      </c>
      <c r="M119" s="11">
        <f t="shared" si="6"/>
        <v>60.019999999999982</v>
      </c>
      <c r="N119" s="10">
        <f t="shared" si="7"/>
        <v>0.13999999999999968</v>
      </c>
    </row>
    <row r="120" spans="1:14" s="4" customFormat="1" x14ac:dyDescent="0.25">
      <c r="A120" s="20"/>
      <c r="B120" s="20" t="s">
        <v>32</v>
      </c>
      <c r="C120" s="48" t="s">
        <v>9</v>
      </c>
      <c r="D120" s="21">
        <v>1000</v>
      </c>
      <c r="E120" s="6">
        <v>5.63</v>
      </c>
      <c r="F120" s="6">
        <v>9.99</v>
      </c>
      <c r="G120" s="38"/>
      <c r="H120" s="6"/>
      <c r="I120" s="6">
        <v>9.99</v>
      </c>
      <c r="J120" s="38"/>
      <c r="K120" s="11">
        <f t="shared" si="4"/>
        <v>5639.99</v>
      </c>
      <c r="L120" s="10">
        <f t="shared" si="5"/>
        <v>0</v>
      </c>
      <c r="M120" s="11">
        <f t="shared" si="6"/>
        <v>0</v>
      </c>
      <c r="N120" s="10">
        <f t="shared" si="7"/>
        <v>0</v>
      </c>
    </row>
    <row r="121" spans="1:14" x14ac:dyDescent="0.25">
      <c r="A121" s="20"/>
      <c r="B121" s="20" t="s">
        <v>32</v>
      </c>
      <c r="C121" s="48" t="s">
        <v>9</v>
      </c>
      <c r="D121" s="21">
        <v>1000</v>
      </c>
      <c r="E121" s="6">
        <v>5.63</v>
      </c>
      <c r="F121" s="6">
        <v>9.99</v>
      </c>
      <c r="I121" s="6">
        <v>9.99</v>
      </c>
      <c r="K121" s="11">
        <f t="shared" si="4"/>
        <v>5639.99</v>
      </c>
      <c r="L121" s="10">
        <f t="shared" si="5"/>
        <v>0</v>
      </c>
      <c r="M121" s="11">
        <f t="shared" si="6"/>
        <v>0</v>
      </c>
      <c r="N121" s="10">
        <f t="shared" si="7"/>
        <v>0</v>
      </c>
    </row>
    <row r="122" spans="1:14" x14ac:dyDescent="0.25">
      <c r="A122" s="20"/>
      <c r="B122" s="20" t="s">
        <v>31</v>
      </c>
      <c r="C122" s="21" t="s">
        <v>9</v>
      </c>
      <c r="D122" s="21">
        <v>1000</v>
      </c>
      <c r="E122" s="6">
        <v>5.91</v>
      </c>
      <c r="F122" s="6">
        <v>4.99</v>
      </c>
      <c r="H122" s="6">
        <v>6.06</v>
      </c>
      <c r="I122" s="6">
        <v>4.99</v>
      </c>
      <c r="K122" s="11">
        <f t="shared" si="4"/>
        <v>5914.99</v>
      </c>
      <c r="L122" s="10">
        <f t="shared" si="5"/>
        <v>6055.01</v>
      </c>
      <c r="M122" s="11">
        <f t="shared" si="6"/>
        <v>140.02000000000044</v>
      </c>
      <c r="N122" s="10">
        <f t="shared" si="7"/>
        <v>0.14999999999999947</v>
      </c>
    </row>
    <row r="123" spans="1:14" x14ac:dyDescent="0.25">
      <c r="A123" s="20"/>
      <c r="B123" s="20" t="s">
        <v>31</v>
      </c>
      <c r="C123" s="21" t="s">
        <v>26</v>
      </c>
      <c r="D123" s="21">
        <v>1000</v>
      </c>
      <c r="E123" s="6">
        <v>12.83</v>
      </c>
      <c r="F123" s="6">
        <v>4.99</v>
      </c>
      <c r="I123" s="6">
        <v>4.99</v>
      </c>
      <c r="K123" s="11">
        <f t="shared" si="4"/>
        <v>12834.99</v>
      </c>
      <c r="L123" s="10">
        <f t="shared" si="5"/>
        <v>0</v>
      </c>
      <c r="M123" s="11">
        <f t="shared" si="6"/>
        <v>0</v>
      </c>
      <c r="N123" s="10">
        <f t="shared" si="7"/>
        <v>0</v>
      </c>
    </row>
    <row r="124" spans="1:14" x14ac:dyDescent="0.25">
      <c r="A124" s="20"/>
      <c r="B124" s="20" t="s">
        <v>31</v>
      </c>
      <c r="C124" s="21" t="s">
        <v>26</v>
      </c>
      <c r="D124" s="21">
        <v>1000</v>
      </c>
      <c r="E124" s="6">
        <v>4.8499999999999996</v>
      </c>
      <c r="F124" s="6">
        <v>4.99</v>
      </c>
      <c r="H124" s="6">
        <v>4.9000000000000004</v>
      </c>
      <c r="I124" s="6">
        <v>4.99</v>
      </c>
      <c r="K124" s="11">
        <f t="shared" si="4"/>
        <v>4854.99</v>
      </c>
      <c r="L124" s="10">
        <f t="shared" si="5"/>
        <v>4895.01</v>
      </c>
      <c r="M124" s="11">
        <f t="shared" si="6"/>
        <v>40.020000000000437</v>
      </c>
      <c r="N124" s="10">
        <f t="shared" si="7"/>
        <v>5.0000000000000711E-2</v>
      </c>
    </row>
    <row r="125" spans="1:14" x14ac:dyDescent="0.25">
      <c r="A125" s="20"/>
      <c r="B125" s="20" t="s">
        <v>31</v>
      </c>
      <c r="C125" s="21" t="s">
        <v>27</v>
      </c>
      <c r="D125" s="21">
        <v>1000</v>
      </c>
      <c r="E125" s="6">
        <v>2.2000000000000002</v>
      </c>
      <c r="F125" s="6">
        <v>4.99</v>
      </c>
      <c r="H125" s="6">
        <v>2.2599999999999998</v>
      </c>
      <c r="I125" s="6">
        <v>4.99</v>
      </c>
      <c r="K125" s="11">
        <f t="shared" si="4"/>
        <v>2204.9899999999998</v>
      </c>
      <c r="L125" s="10">
        <f t="shared" si="5"/>
        <v>2255.0100000000002</v>
      </c>
      <c r="M125" s="11">
        <f t="shared" si="6"/>
        <v>50.020000000000437</v>
      </c>
      <c r="N125" s="10">
        <f t="shared" si="7"/>
        <v>5.9999999999999609E-2</v>
      </c>
    </row>
    <row r="126" spans="1:14" x14ac:dyDescent="0.25">
      <c r="A126" s="20">
        <v>42011</v>
      </c>
      <c r="B126" s="20" t="s">
        <v>31</v>
      </c>
      <c r="C126" s="21" t="s">
        <v>9</v>
      </c>
      <c r="D126" s="21">
        <v>1000</v>
      </c>
      <c r="E126" s="6">
        <v>6.15</v>
      </c>
      <c r="F126" s="6">
        <v>4.99</v>
      </c>
      <c r="H126" s="6">
        <v>6.27</v>
      </c>
      <c r="I126" s="6">
        <v>4.99</v>
      </c>
      <c r="K126" s="11">
        <f t="shared" si="4"/>
        <v>6154.99</v>
      </c>
      <c r="L126" s="10">
        <f t="shared" si="5"/>
        <v>6265.01</v>
      </c>
      <c r="M126" s="11">
        <f t="shared" si="6"/>
        <v>110.02000000000044</v>
      </c>
      <c r="N126" s="10">
        <f t="shared" si="7"/>
        <v>0.11999999999999922</v>
      </c>
    </row>
    <row r="127" spans="1:14" x14ac:dyDescent="0.25">
      <c r="A127" s="20"/>
      <c r="B127" s="20" t="s">
        <v>31</v>
      </c>
      <c r="C127" s="21" t="s">
        <v>9</v>
      </c>
      <c r="D127" s="21">
        <v>1000</v>
      </c>
      <c r="E127" s="6">
        <v>6.21</v>
      </c>
      <c r="F127" s="6">
        <v>4.99</v>
      </c>
      <c r="H127" s="6">
        <v>6.32</v>
      </c>
      <c r="I127" s="6">
        <v>4.99</v>
      </c>
      <c r="K127" s="11">
        <f t="shared" si="4"/>
        <v>6214.99</v>
      </c>
      <c r="L127" s="10">
        <f t="shared" si="5"/>
        <v>6315.01</v>
      </c>
      <c r="M127" s="11">
        <f t="shared" si="6"/>
        <v>100.02000000000044</v>
      </c>
      <c r="N127" s="10">
        <f t="shared" si="7"/>
        <v>0.11000000000000032</v>
      </c>
    </row>
    <row r="128" spans="1:14" x14ac:dyDescent="0.25">
      <c r="A128" s="20"/>
      <c r="B128" s="20" t="s">
        <v>31</v>
      </c>
      <c r="C128" s="21" t="s">
        <v>27</v>
      </c>
      <c r="D128" s="21">
        <v>1000</v>
      </c>
      <c r="E128" s="6">
        <v>2.2400000000000002</v>
      </c>
      <c r="F128" s="6">
        <v>4.99</v>
      </c>
      <c r="H128" s="6">
        <v>2.25</v>
      </c>
      <c r="I128" s="6">
        <v>4.99</v>
      </c>
      <c r="K128" s="11">
        <f t="shared" si="4"/>
        <v>2244.9899999999998</v>
      </c>
      <c r="L128" s="10">
        <f t="shared" si="5"/>
        <v>2245.0100000000002</v>
      </c>
      <c r="M128" s="11">
        <f t="shared" si="6"/>
        <v>2.0000000000436557E-2</v>
      </c>
      <c r="N128" s="10">
        <f t="shared" si="7"/>
        <v>9.9999999999997868E-3</v>
      </c>
    </row>
    <row r="129" spans="1:14" x14ac:dyDescent="0.25">
      <c r="A129" s="20"/>
      <c r="B129" s="20" t="s">
        <v>31</v>
      </c>
      <c r="C129" s="21" t="s">
        <v>9</v>
      </c>
      <c r="D129" s="21">
        <v>1000</v>
      </c>
      <c r="E129" s="6">
        <v>6.41</v>
      </c>
      <c r="F129" s="6">
        <v>4.99</v>
      </c>
      <c r="H129" s="6">
        <v>6.46</v>
      </c>
      <c r="I129" s="6">
        <v>4.99</v>
      </c>
      <c r="K129" s="11">
        <f t="shared" si="4"/>
        <v>6414.99</v>
      </c>
      <c r="L129" s="10">
        <f t="shared" si="5"/>
        <v>6455.01</v>
      </c>
      <c r="M129" s="11">
        <f t="shared" si="6"/>
        <v>40.020000000000437</v>
      </c>
      <c r="N129" s="10">
        <f t="shared" si="7"/>
        <v>4.9999999999999822E-2</v>
      </c>
    </row>
    <row r="130" spans="1:14" x14ac:dyDescent="0.25">
      <c r="A130" s="20"/>
      <c r="B130" s="20"/>
      <c r="C130" s="21" t="s">
        <v>26</v>
      </c>
      <c r="D130" s="21">
        <v>1000</v>
      </c>
      <c r="E130" s="6">
        <v>4.95</v>
      </c>
      <c r="F130" s="6">
        <v>4.99</v>
      </c>
      <c r="H130" s="6">
        <v>4.92</v>
      </c>
      <c r="I130" s="6">
        <v>4.99</v>
      </c>
      <c r="K130" s="11">
        <f t="shared" si="4"/>
        <v>4954.99</v>
      </c>
      <c r="L130" s="10">
        <f t="shared" si="5"/>
        <v>4915.01</v>
      </c>
      <c r="M130" s="11">
        <f t="shared" si="6"/>
        <v>-39.979999999999563</v>
      </c>
      <c r="N130" s="10">
        <f t="shared" si="7"/>
        <v>-3.0000000000000249E-2</v>
      </c>
    </row>
    <row r="131" spans="1:14" x14ac:dyDescent="0.25">
      <c r="A131" s="20">
        <v>42012</v>
      </c>
      <c r="B131" s="20"/>
      <c r="C131" s="21" t="s">
        <v>9</v>
      </c>
      <c r="D131" s="21">
        <v>1000</v>
      </c>
      <c r="E131" s="6">
        <v>6.31</v>
      </c>
      <c r="F131" s="6">
        <v>4.99</v>
      </c>
      <c r="H131" s="6">
        <v>6.36</v>
      </c>
      <c r="I131" s="6">
        <v>4.99</v>
      </c>
      <c r="K131" s="11">
        <f t="shared" si="4"/>
        <v>6314.99</v>
      </c>
      <c r="L131" s="10">
        <f t="shared" si="5"/>
        <v>6355.01</v>
      </c>
      <c r="M131" s="11">
        <f t="shared" si="6"/>
        <v>40.020000000000437</v>
      </c>
      <c r="N131" s="10">
        <f t="shared" si="7"/>
        <v>5.0000000000000711E-2</v>
      </c>
    </row>
    <row r="132" spans="1:14" x14ac:dyDescent="0.25">
      <c r="A132" s="20"/>
      <c r="B132" s="20"/>
      <c r="C132" s="21" t="s">
        <v>9</v>
      </c>
      <c r="D132" s="21">
        <v>1000</v>
      </c>
      <c r="E132" s="6">
        <v>6.26</v>
      </c>
      <c r="F132" s="6">
        <v>4.99</v>
      </c>
      <c r="H132" s="6">
        <v>6.28</v>
      </c>
      <c r="I132" s="6">
        <v>4.99</v>
      </c>
      <c r="K132" s="11">
        <f t="shared" si="4"/>
        <v>6264.99</v>
      </c>
      <c r="L132" s="10">
        <f t="shared" si="5"/>
        <v>6275.01</v>
      </c>
      <c r="M132" s="11">
        <f t="shared" si="6"/>
        <v>10.020000000000437</v>
      </c>
      <c r="N132" s="10">
        <f t="shared" si="7"/>
        <v>2.0000000000000462E-2</v>
      </c>
    </row>
    <row r="133" spans="1:14" x14ac:dyDescent="0.25">
      <c r="A133" s="20"/>
      <c r="B133" s="20"/>
      <c r="C133" s="21" t="s">
        <v>26</v>
      </c>
      <c r="D133" s="21">
        <v>1000</v>
      </c>
      <c r="E133" s="6">
        <v>4.9000000000000004</v>
      </c>
      <c r="F133" s="6">
        <v>4.99</v>
      </c>
      <c r="H133" s="6">
        <v>5.0599999999999996</v>
      </c>
      <c r="I133" s="6">
        <v>4.99</v>
      </c>
      <c r="K133" s="11">
        <f t="shared" si="4"/>
        <v>4904.99</v>
      </c>
      <c r="L133" s="10">
        <f t="shared" si="5"/>
        <v>5055.01</v>
      </c>
      <c r="M133" s="11">
        <f t="shared" si="6"/>
        <v>150.02000000000044</v>
      </c>
      <c r="N133" s="10">
        <f t="shared" si="7"/>
        <v>0.15999999999999925</v>
      </c>
    </row>
    <row r="134" spans="1:14" x14ac:dyDescent="0.25">
      <c r="A134" s="20"/>
      <c r="B134" s="20"/>
      <c r="C134" s="21" t="s">
        <v>26</v>
      </c>
      <c r="D134" s="21">
        <v>1000</v>
      </c>
      <c r="E134" s="6">
        <v>5.0599999999999996</v>
      </c>
      <c r="F134" s="6">
        <v>4.99</v>
      </c>
      <c r="H134" s="6">
        <v>5.09</v>
      </c>
      <c r="I134" s="6">
        <v>4.99</v>
      </c>
      <c r="K134" s="11">
        <f t="shared" ref="K134:K197" si="8">IF(D134&gt;0,IF(G134&gt;0,((D134*E134)+F134)*G134,(D134*E134)+F134),0)</f>
        <v>5064.99</v>
      </c>
      <c r="L134" s="10">
        <f t="shared" ref="L134:L197" si="9">IF(H134&gt;0,IF(J134&gt;0,((D134*H134)-I134)*J134,(D134*H134)-I134),0)</f>
        <v>5085.01</v>
      </c>
      <c r="M134" s="11">
        <f t="shared" ref="M134:M197" si="10">IF(H134&gt;0,L134-K134,0)</f>
        <v>20.020000000000437</v>
      </c>
      <c r="N134" s="10">
        <f t="shared" ref="N134:N197" si="11">IF(H134&gt;0,H134-E134,0)</f>
        <v>3.0000000000000249E-2</v>
      </c>
    </row>
    <row r="135" spans="1:14" x14ac:dyDescent="0.25">
      <c r="A135" s="20"/>
      <c r="B135" s="20"/>
      <c r="C135" s="21" t="s">
        <v>43</v>
      </c>
      <c r="D135" s="21">
        <v>500</v>
      </c>
      <c r="E135" s="6">
        <v>3.41</v>
      </c>
      <c r="F135" s="6">
        <v>4.99</v>
      </c>
      <c r="H135" s="6">
        <v>3.57</v>
      </c>
      <c r="I135" s="6">
        <v>4.99</v>
      </c>
      <c r="K135" s="11">
        <f t="shared" si="8"/>
        <v>1709.99</v>
      </c>
      <c r="L135" s="10">
        <f t="shared" si="9"/>
        <v>1780.01</v>
      </c>
      <c r="M135" s="11">
        <f t="shared" si="10"/>
        <v>70.019999999999982</v>
      </c>
      <c r="N135" s="10">
        <f t="shared" si="11"/>
        <v>0.1599999999999997</v>
      </c>
    </row>
    <row r="136" spans="1:14" x14ac:dyDescent="0.25">
      <c r="A136" s="20"/>
      <c r="B136" s="20"/>
      <c r="C136" s="21" t="s">
        <v>9</v>
      </c>
      <c r="D136" s="21">
        <v>1000</v>
      </c>
      <c r="E136" s="6">
        <v>6.15</v>
      </c>
      <c r="F136" s="6">
        <v>4.99</v>
      </c>
      <c r="H136" s="6">
        <v>6.39</v>
      </c>
      <c r="I136" s="6">
        <v>4.99</v>
      </c>
      <c r="K136" s="11">
        <f t="shared" si="8"/>
        <v>6154.99</v>
      </c>
      <c r="L136" s="10">
        <f t="shared" si="9"/>
        <v>6385.01</v>
      </c>
      <c r="M136" s="11">
        <f t="shared" si="10"/>
        <v>230.02000000000044</v>
      </c>
      <c r="N136" s="10">
        <f t="shared" si="11"/>
        <v>0.23999999999999932</v>
      </c>
    </row>
    <row r="137" spans="1:14" x14ac:dyDescent="0.25">
      <c r="A137" s="20">
        <v>42013</v>
      </c>
      <c r="B137" s="20"/>
      <c r="C137" s="21" t="s">
        <v>43</v>
      </c>
      <c r="D137" s="21">
        <v>500</v>
      </c>
      <c r="E137" s="6">
        <v>3.37</v>
      </c>
      <c r="F137" s="6">
        <v>4.99</v>
      </c>
      <c r="H137" s="6">
        <v>3.48</v>
      </c>
      <c r="I137" s="6">
        <v>4.99</v>
      </c>
      <c r="K137" s="11">
        <f t="shared" si="8"/>
        <v>1689.99</v>
      </c>
      <c r="L137" s="10">
        <f t="shared" si="9"/>
        <v>1735.01</v>
      </c>
      <c r="M137" s="11">
        <f t="shared" si="10"/>
        <v>45.019999999999982</v>
      </c>
      <c r="N137" s="10">
        <f t="shared" si="11"/>
        <v>0.10999999999999988</v>
      </c>
    </row>
    <row r="138" spans="1:14" x14ac:dyDescent="0.25">
      <c r="A138" s="20"/>
      <c r="B138" s="20"/>
      <c r="C138" s="21" t="s">
        <v>43</v>
      </c>
      <c r="D138" s="21">
        <v>500</v>
      </c>
      <c r="E138" s="6">
        <v>4.07</v>
      </c>
      <c r="F138" s="6">
        <v>4.99</v>
      </c>
      <c r="H138" s="6">
        <v>3.26</v>
      </c>
      <c r="I138" s="6">
        <v>4.99</v>
      </c>
      <c r="K138" s="11">
        <f t="shared" si="8"/>
        <v>2039.9900000000002</v>
      </c>
      <c r="L138" s="10">
        <f t="shared" si="9"/>
        <v>1625.01</v>
      </c>
      <c r="M138" s="11">
        <f t="shared" si="10"/>
        <v>-414.98000000000025</v>
      </c>
      <c r="N138" s="10">
        <f t="shared" si="11"/>
        <v>-0.8100000000000005</v>
      </c>
    </row>
    <row r="139" spans="1:14" x14ac:dyDescent="0.25">
      <c r="A139" s="20"/>
      <c r="B139" s="20"/>
      <c r="C139" s="21" t="s">
        <v>26</v>
      </c>
      <c r="D139" s="21">
        <v>1000</v>
      </c>
      <c r="E139" s="6">
        <v>5.04</v>
      </c>
      <c r="F139" s="6">
        <v>4.99</v>
      </c>
      <c r="H139" s="6">
        <v>5.2</v>
      </c>
      <c r="I139" s="6">
        <v>4.99</v>
      </c>
      <c r="K139" s="11">
        <f t="shared" si="8"/>
        <v>5044.99</v>
      </c>
      <c r="L139" s="10">
        <f t="shared" si="9"/>
        <v>5195.01</v>
      </c>
      <c r="M139" s="11">
        <f t="shared" si="10"/>
        <v>150.02000000000044</v>
      </c>
      <c r="N139" s="10">
        <f t="shared" si="11"/>
        <v>0.16000000000000014</v>
      </c>
    </row>
    <row r="140" spans="1:14" x14ac:dyDescent="0.25">
      <c r="A140" s="20"/>
      <c r="B140" s="20"/>
      <c r="C140" s="21" t="s">
        <v>41</v>
      </c>
      <c r="D140" s="21">
        <v>500</v>
      </c>
      <c r="E140" s="6">
        <v>4.2</v>
      </c>
      <c r="F140" s="6">
        <v>4.99</v>
      </c>
      <c r="H140" s="6">
        <v>4.42</v>
      </c>
      <c r="I140" s="6">
        <v>4.99</v>
      </c>
      <c r="K140" s="11">
        <f t="shared" si="8"/>
        <v>2104.9899999999998</v>
      </c>
      <c r="L140" s="10">
        <f t="shared" si="9"/>
        <v>2205.0100000000002</v>
      </c>
      <c r="M140" s="11">
        <f t="shared" si="10"/>
        <v>100.02000000000044</v>
      </c>
      <c r="N140" s="10">
        <f t="shared" si="11"/>
        <v>0.21999999999999975</v>
      </c>
    </row>
    <row r="141" spans="1:14" x14ac:dyDescent="0.25">
      <c r="A141" s="20"/>
      <c r="B141" s="20"/>
      <c r="C141" s="21" t="s">
        <v>40</v>
      </c>
      <c r="D141" s="21">
        <v>1000</v>
      </c>
      <c r="E141" s="6">
        <v>2.93</v>
      </c>
      <c r="F141" s="6">
        <v>4.99</v>
      </c>
      <c r="H141" s="6">
        <v>2.94</v>
      </c>
      <c r="I141" s="6">
        <v>4.99</v>
      </c>
      <c r="K141" s="11">
        <f t="shared" si="8"/>
        <v>2934.99</v>
      </c>
      <c r="L141" s="10">
        <f t="shared" si="9"/>
        <v>2935.01</v>
      </c>
      <c r="M141" s="11">
        <f t="shared" si="10"/>
        <v>2.0000000000436557E-2</v>
      </c>
      <c r="N141" s="10">
        <f t="shared" si="11"/>
        <v>9.9999999999997868E-3</v>
      </c>
    </row>
    <row r="142" spans="1:14" x14ac:dyDescent="0.25">
      <c r="A142" s="20">
        <v>42016</v>
      </c>
      <c r="B142" s="20"/>
      <c r="C142" s="21" t="s">
        <v>41</v>
      </c>
      <c r="D142" s="21">
        <v>500</v>
      </c>
      <c r="E142" s="6">
        <v>3.65</v>
      </c>
      <c r="F142" s="6">
        <v>4.99</v>
      </c>
      <c r="H142" s="6">
        <v>3.73</v>
      </c>
      <c r="I142" s="6">
        <v>4.99</v>
      </c>
      <c r="K142" s="11">
        <f t="shared" si="8"/>
        <v>1829.99</v>
      </c>
      <c r="L142" s="10">
        <f t="shared" si="9"/>
        <v>1860.01</v>
      </c>
      <c r="M142" s="11">
        <f t="shared" si="10"/>
        <v>30.019999999999982</v>
      </c>
      <c r="N142" s="10">
        <f t="shared" si="11"/>
        <v>8.0000000000000071E-2</v>
      </c>
    </row>
    <row r="143" spans="1:14" x14ac:dyDescent="0.25">
      <c r="A143" s="20"/>
      <c r="B143" s="20"/>
      <c r="C143" s="21" t="s">
        <v>9</v>
      </c>
      <c r="D143" s="21">
        <v>500</v>
      </c>
      <c r="E143" s="6">
        <v>7.18</v>
      </c>
      <c r="F143" s="6">
        <v>4.99</v>
      </c>
      <c r="H143" s="6">
        <v>7.24</v>
      </c>
      <c r="I143" s="6">
        <v>4.99</v>
      </c>
      <c r="K143" s="11">
        <f t="shared" si="8"/>
        <v>3594.99</v>
      </c>
      <c r="L143" s="10">
        <f t="shared" si="9"/>
        <v>3615.01</v>
      </c>
      <c r="M143" s="11">
        <f t="shared" si="10"/>
        <v>20.020000000000437</v>
      </c>
      <c r="N143" s="10">
        <f t="shared" si="11"/>
        <v>6.0000000000000497E-2</v>
      </c>
    </row>
    <row r="144" spans="1:14" x14ac:dyDescent="0.25">
      <c r="A144" s="20"/>
      <c r="B144" s="20" t="s">
        <v>31</v>
      </c>
      <c r="C144" s="21" t="s">
        <v>26</v>
      </c>
      <c r="D144" s="21">
        <v>1000</v>
      </c>
      <c r="E144" s="6">
        <v>4.63</v>
      </c>
      <c r="F144" s="6">
        <v>4.99</v>
      </c>
      <c r="H144" s="6">
        <v>4.8</v>
      </c>
      <c r="I144" s="6">
        <v>4.99</v>
      </c>
      <c r="K144" s="11">
        <f t="shared" si="8"/>
        <v>4634.99</v>
      </c>
      <c r="L144" s="10">
        <f t="shared" si="9"/>
        <v>4795.01</v>
      </c>
      <c r="M144" s="11">
        <f t="shared" si="10"/>
        <v>160.02000000000044</v>
      </c>
      <c r="N144" s="10">
        <f t="shared" si="11"/>
        <v>0.16999999999999993</v>
      </c>
    </row>
    <row r="145" spans="1:14" x14ac:dyDescent="0.25">
      <c r="A145" s="20"/>
      <c r="B145" s="20"/>
      <c r="C145" s="21" t="s">
        <v>9</v>
      </c>
      <c r="D145" s="21">
        <v>500</v>
      </c>
      <c r="E145" s="6">
        <v>7.18</v>
      </c>
      <c r="F145" s="6">
        <v>4.99</v>
      </c>
      <c r="H145" s="6">
        <v>7.14</v>
      </c>
      <c r="I145" s="6">
        <v>4.99</v>
      </c>
      <c r="K145" s="11">
        <f t="shared" si="8"/>
        <v>3594.99</v>
      </c>
      <c r="L145" s="10">
        <f t="shared" si="9"/>
        <v>3565.01</v>
      </c>
      <c r="M145" s="11">
        <f t="shared" si="10"/>
        <v>-29.979999999999563</v>
      </c>
      <c r="N145" s="10">
        <f t="shared" si="11"/>
        <v>-4.0000000000000036E-2</v>
      </c>
    </row>
    <row r="146" spans="1:14" x14ac:dyDescent="0.25">
      <c r="A146" s="20">
        <v>42017</v>
      </c>
      <c r="B146" s="20"/>
      <c r="C146" s="21" t="s">
        <v>9</v>
      </c>
      <c r="D146" s="21">
        <v>500</v>
      </c>
      <c r="E146" s="6">
        <v>7.08</v>
      </c>
      <c r="F146" s="6">
        <v>4.99</v>
      </c>
      <c r="H146" s="6">
        <v>7.14</v>
      </c>
      <c r="I146" s="6">
        <v>4.99</v>
      </c>
      <c r="K146" s="11">
        <f t="shared" si="8"/>
        <v>3544.99</v>
      </c>
      <c r="L146" s="10">
        <f t="shared" si="9"/>
        <v>3565.01</v>
      </c>
      <c r="M146" s="11">
        <f t="shared" si="10"/>
        <v>20.020000000000437</v>
      </c>
      <c r="N146" s="10">
        <f t="shared" si="11"/>
        <v>5.9999999999999609E-2</v>
      </c>
    </row>
    <row r="147" spans="1:14" x14ac:dyDescent="0.25">
      <c r="A147" s="20"/>
      <c r="B147" s="20" t="s">
        <v>31</v>
      </c>
      <c r="C147" s="21" t="s">
        <v>9</v>
      </c>
      <c r="D147" s="21">
        <v>700</v>
      </c>
      <c r="E147" s="6">
        <v>6.86</v>
      </c>
      <c r="F147" s="6">
        <v>4.99</v>
      </c>
      <c r="H147" s="6">
        <v>6.96</v>
      </c>
      <c r="I147" s="6">
        <v>4.99</v>
      </c>
      <c r="K147" s="11">
        <f t="shared" si="8"/>
        <v>4806.99</v>
      </c>
      <c r="L147" s="10">
        <f t="shared" si="9"/>
        <v>4867.01</v>
      </c>
      <c r="M147" s="11">
        <f t="shared" si="10"/>
        <v>60.020000000000437</v>
      </c>
      <c r="N147" s="10">
        <f t="shared" si="11"/>
        <v>9.9999999999999645E-2</v>
      </c>
    </row>
    <row r="148" spans="1:14" x14ac:dyDescent="0.25">
      <c r="A148" s="20"/>
      <c r="B148" s="20" t="s">
        <v>31</v>
      </c>
      <c r="C148" s="21" t="s">
        <v>9</v>
      </c>
      <c r="D148" s="21">
        <v>700</v>
      </c>
      <c r="E148" s="6">
        <v>6.86</v>
      </c>
      <c r="F148" s="6">
        <v>4.99</v>
      </c>
      <c r="H148" s="6">
        <v>7.16</v>
      </c>
      <c r="I148" s="6">
        <v>4.99</v>
      </c>
      <c r="K148" s="11">
        <f t="shared" si="8"/>
        <v>4806.99</v>
      </c>
      <c r="L148" s="10">
        <f t="shared" si="9"/>
        <v>5007.01</v>
      </c>
      <c r="M148" s="11">
        <f t="shared" si="10"/>
        <v>200.02000000000044</v>
      </c>
      <c r="N148" s="10">
        <f t="shared" si="11"/>
        <v>0.29999999999999982</v>
      </c>
    </row>
    <row r="149" spans="1:14" x14ac:dyDescent="0.25">
      <c r="A149" s="20"/>
      <c r="B149" s="20"/>
      <c r="C149" s="21" t="s">
        <v>43</v>
      </c>
      <c r="D149" s="21">
        <v>500</v>
      </c>
      <c r="E149" s="6">
        <v>3.1</v>
      </c>
      <c r="F149" s="6">
        <v>7.49</v>
      </c>
      <c r="H149" s="6">
        <v>3.26</v>
      </c>
      <c r="I149" s="6">
        <v>7.49</v>
      </c>
      <c r="K149" s="11">
        <f t="shared" si="8"/>
        <v>1557.49</v>
      </c>
      <c r="L149" s="10">
        <f t="shared" si="9"/>
        <v>1622.51</v>
      </c>
      <c r="M149" s="11">
        <f t="shared" si="10"/>
        <v>65.019999999999982</v>
      </c>
      <c r="N149" s="10">
        <f t="shared" si="11"/>
        <v>0.1599999999999997</v>
      </c>
    </row>
    <row r="150" spans="1:14" x14ac:dyDescent="0.25">
      <c r="A150" s="20">
        <v>42018</v>
      </c>
      <c r="B150" s="20"/>
      <c r="C150" s="21" t="s">
        <v>41</v>
      </c>
      <c r="D150" s="21">
        <v>1000</v>
      </c>
      <c r="E150" s="6">
        <v>4.5</v>
      </c>
      <c r="F150" s="6">
        <v>4.99</v>
      </c>
      <c r="H150" s="6">
        <v>4.55</v>
      </c>
      <c r="I150" s="6">
        <v>4.99</v>
      </c>
      <c r="K150" s="11">
        <f t="shared" si="8"/>
        <v>4504.99</v>
      </c>
      <c r="L150" s="10">
        <f t="shared" si="9"/>
        <v>4545.01</v>
      </c>
      <c r="M150" s="11">
        <f t="shared" si="10"/>
        <v>40.020000000000437</v>
      </c>
      <c r="N150" s="10">
        <f t="shared" si="11"/>
        <v>4.9999999999999822E-2</v>
      </c>
    </row>
    <row r="151" spans="1:14" x14ac:dyDescent="0.25">
      <c r="A151" s="20"/>
      <c r="B151" s="20"/>
      <c r="C151" s="21" t="s">
        <v>41</v>
      </c>
      <c r="D151" s="21">
        <v>1000</v>
      </c>
      <c r="E151" s="6">
        <v>4.62</v>
      </c>
      <c r="F151" s="6">
        <v>4.99</v>
      </c>
      <c r="H151" s="6">
        <v>4.63</v>
      </c>
      <c r="I151" s="6">
        <v>4.99</v>
      </c>
      <c r="K151" s="11">
        <f t="shared" si="8"/>
        <v>4624.99</v>
      </c>
      <c r="L151" s="10">
        <f t="shared" si="9"/>
        <v>4625.01</v>
      </c>
      <c r="M151" s="11">
        <f t="shared" si="10"/>
        <v>2.0000000000436557E-2</v>
      </c>
      <c r="N151" s="10">
        <f t="shared" si="11"/>
        <v>9.9999999999997868E-3</v>
      </c>
    </row>
    <row r="152" spans="1:14" x14ac:dyDescent="0.25">
      <c r="A152" s="20"/>
      <c r="B152" s="20"/>
      <c r="C152" s="21" t="s">
        <v>41</v>
      </c>
      <c r="D152" s="21">
        <v>500</v>
      </c>
      <c r="E152" s="6">
        <v>4.55</v>
      </c>
      <c r="F152" s="6">
        <v>4.99</v>
      </c>
      <c r="H152" s="6">
        <v>4.62</v>
      </c>
      <c r="I152" s="6">
        <v>4.99</v>
      </c>
      <c r="K152" s="11">
        <f t="shared" si="8"/>
        <v>2279.9899999999998</v>
      </c>
      <c r="L152" s="10">
        <f t="shared" si="9"/>
        <v>2305.0100000000002</v>
      </c>
      <c r="M152" s="11">
        <f t="shared" si="10"/>
        <v>25.020000000000437</v>
      </c>
      <c r="N152" s="10">
        <f t="shared" si="11"/>
        <v>7.0000000000000284E-2</v>
      </c>
    </row>
    <row r="153" spans="1:14" x14ac:dyDescent="0.25">
      <c r="A153" s="20"/>
      <c r="B153" s="20"/>
      <c r="C153" s="21" t="s">
        <v>43</v>
      </c>
      <c r="D153" s="21">
        <v>500</v>
      </c>
      <c r="E153" s="6">
        <v>2.91</v>
      </c>
      <c r="F153" s="6">
        <v>4.99</v>
      </c>
      <c r="H153" s="6">
        <v>3.01</v>
      </c>
      <c r="I153" s="6">
        <v>4.99</v>
      </c>
      <c r="K153" s="11">
        <f t="shared" si="8"/>
        <v>1459.99</v>
      </c>
      <c r="L153" s="10">
        <f t="shared" si="9"/>
        <v>1500.01</v>
      </c>
      <c r="M153" s="11">
        <f t="shared" si="10"/>
        <v>40.019999999999982</v>
      </c>
      <c r="N153" s="10">
        <f t="shared" si="11"/>
        <v>9.9999999999999645E-2</v>
      </c>
    </row>
    <row r="154" spans="1:14" x14ac:dyDescent="0.25">
      <c r="A154" s="20"/>
      <c r="B154" s="20"/>
      <c r="C154" s="21" t="s">
        <v>43</v>
      </c>
      <c r="D154" s="21">
        <v>1000</v>
      </c>
      <c r="E154" s="6">
        <v>3.02</v>
      </c>
      <c r="F154" s="6">
        <v>4.99</v>
      </c>
      <c r="H154" s="6">
        <v>3.03</v>
      </c>
      <c r="I154" s="6">
        <v>4.99</v>
      </c>
      <c r="K154" s="11">
        <f t="shared" si="8"/>
        <v>3024.99</v>
      </c>
      <c r="L154" s="10">
        <f t="shared" si="9"/>
        <v>3025.01</v>
      </c>
      <c r="M154" s="11">
        <f t="shared" si="10"/>
        <v>2.0000000000436557E-2</v>
      </c>
      <c r="N154" s="10">
        <f t="shared" si="11"/>
        <v>9.9999999999997868E-3</v>
      </c>
    </row>
    <row r="155" spans="1:14" x14ac:dyDescent="0.25">
      <c r="A155" s="20"/>
      <c r="B155" s="20"/>
      <c r="C155" s="21" t="s">
        <v>43</v>
      </c>
      <c r="D155" s="21">
        <v>1000</v>
      </c>
      <c r="E155" s="6">
        <v>3.32</v>
      </c>
      <c r="F155" s="6">
        <v>4.99</v>
      </c>
      <c r="H155" s="6">
        <v>3.47</v>
      </c>
      <c r="I155" s="6">
        <v>4.99</v>
      </c>
      <c r="K155" s="11">
        <f t="shared" si="8"/>
        <v>3324.99</v>
      </c>
      <c r="L155" s="10">
        <f t="shared" si="9"/>
        <v>3465.01</v>
      </c>
      <c r="M155" s="11">
        <f t="shared" si="10"/>
        <v>140.02000000000044</v>
      </c>
      <c r="N155" s="10">
        <f t="shared" si="11"/>
        <v>0.15000000000000036</v>
      </c>
    </row>
    <row r="156" spans="1:14" x14ac:dyDescent="0.25">
      <c r="A156" s="20"/>
      <c r="B156" s="20"/>
      <c r="C156" s="21" t="s">
        <v>41</v>
      </c>
      <c r="D156" s="21">
        <v>1000</v>
      </c>
      <c r="E156" s="6">
        <v>5.18</v>
      </c>
      <c r="F156" s="6">
        <v>4.99</v>
      </c>
      <c r="H156" s="6">
        <v>5.2</v>
      </c>
      <c r="I156" s="6">
        <v>4.99</v>
      </c>
      <c r="K156" s="11">
        <f t="shared" si="8"/>
        <v>5184.99</v>
      </c>
      <c r="L156" s="10">
        <f t="shared" si="9"/>
        <v>5195.01</v>
      </c>
      <c r="M156" s="11">
        <f t="shared" si="10"/>
        <v>10.020000000000437</v>
      </c>
      <c r="N156" s="10">
        <f t="shared" si="11"/>
        <v>2.0000000000000462E-2</v>
      </c>
    </row>
    <row r="157" spans="1:14" x14ac:dyDescent="0.25">
      <c r="A157" s="20"/>
      <c r="B157" s="20"/>
      <c r="C157" s="21" t="s">
        <v>41</v>
      </c>
      <c r="D157" s="21">
        <v>1000</v>
      </c>
      <c r="E157" s="6">
        <v>5.18</v>
      </c>
      <c r="F157" s="6">
        <v>4.99</v>
      </c>
      <c r="H157" s="6">
        <v>5.19</v>
      </c>
      <c r="I157" s="6">
        <v>4.99</v>
      </c>
      <c r="K157" s="11">
        <f t="shared" si="8"/>
        <v>5184.99</v>
      </c>
      <c r="L157" s="10">
        <f t="shared" si="9"/>
        <v>5185.01</v>
      </c>
      <c r="M157" s="11">
        <f t="shared" si="10"/>
        <v>2.0000000000436557E-2</v>
      </c>
      <c r="N157" s="10">
        <f t="shared" si="11"/>
        <v>1.0000000000000675E-2</v>
      </c>
    </row>
    <row r="158" spans="1:14" x14ac:dyDescent="0.25">
      <c r="A158" s="20">
        <v>42019</v>
      </c>
      <c r="B158" s="20"/>
      <c r="C158" s="21" t="s">
        <v>41</v>
      </c>
      <c r="D158" s="21">
        <v>500</v>
      </c>
      <c r="E158" s="6">
        <v>5.19</v>
      </c>
      <c r="F158" s="6">
        <v>4.99</v>
      </c>
      <c r="H158" s="6">
        <v>5.42</v>
      </c>
      <c r="I158" s="6">
        <v>4.99</v>
      </c>
      <c r="K158" s="11">
        <f t="shared" si="8"/>
        <v>2599.9899999999998</v>
      </c>
      <c r="L158" s="10">
        <f t="shared" si="9"/>
        <v>2705.01</v>
      </c>
      <c r="M158" s="11">
        <f t="shared" si="10"/>
        <v>105.02000000000044</v>
      </c>
      <c r="N158" s="10">
        <f t="shared" si="11"/>
        <v>0.22999999999999954</v>
      </c>
    </row>
    <row r="159" spans="1:14" x14ac:dyDescent="0.25">
      <c r="A159" s="20"/>
      <c r="B159" s="20"/>
      <c r="C159" s="21" t="s">
        <v>41</v>
      </c>
      <c r="D159" s="21">
        <v>500</v>
      </c>
      <c r="E159" s="6">
        <v>5.09</v>
      </c>
      <c r="F159" s="6">
        <v>4.99</v>
      </c>
      <c r="H159" s="6">
        <v>5.37</v>
      </c>
      <c r="I159" s="6">
        <v>4.99</v>
      </c>
      <c r="K159" s="11">
        <f t="shared" si="8"/>
        <v>2549.9899999999998</v>
      </c>
      <c r="L159" s="10">
        <f t="shared" si="9"/>
        <v>2680.01</v>
      </c>
      <c r="M159" s="11">
        <f t="shared" si="10"/>
        <v>130.02000000000044</v>
      </c>
      <c r="N159" s="10">
        <f t="shared" si="11"/>
        <v>0.28000000000000025</v>
      </c>
    </row>
    <row r="160" spans="1:14" x14ac:dyDescent="0.25">
      <c r="A160" s="20"/>
      <c r="B160" s="20"/>
      <c r="C160" s="48" t="s">
        <v>41</v>
      </c>
      <c r="D160" s="21">
        <v>500</v>
      </c>
      <c r="E160" s="6">
        <v>5.21</v>
      </c>
      <c r="F160" s="6">
        <v>4.99</v>
      </c>
      <c r="I160" s="6">
        <v>4.99</v>
      </c>
      <c r="K160" s="11">
        <f t="shared" si="8"/>
        <v>2609.9899999999998</v>
      </c>
      <c r="L160" s="10">
        <f t="shared" si="9"/>
        <v>0</v>
      </c>
      <c r="M160" s="11">
        <f t="shared" si="10"/>
        <v>0</v>
      </c>
      <c r="N160" s="10">
        <f t="shared" si="11"/>
        <v>0</v>
      </c>
    </row>
    <row r="161" spans="1:14" x14ac:dyDescent="0.25">
      <c r="A161" s="20"/>
      <c r="B161" s="20"/>
      <c r="C161" s="48" t="s">
        <v>41</v>
      </c>
      <c r="D161" s="21">
        <v>500</v>
      </c>
      <c r="E161" s="6">
        <v>5.03</v>
      </c>
      <c r="F161" s="6">
        <v>4.99</v>
      </c>
      <c r="I161" s="6">
        <v>4.99</v>
      </c>
      <c r="K161" s="11">
        <f t="shared" si="8"/>
        <v>2519.9899999999998</v>
      </c>
      <c r="L161" s="10">
        <f t="shared" si="9"/>
        <v>0</v>
      </c>
      <c r="M161" s="11">
        <f t="shared" si="10"/>
        <v>0</v>
      </c>
      <c r="N161" s="10">
        <f t="shared" si="11"/>
        <v>0</v>
      </c>
    </row>
    <row r="162" spans="1:14" x14ac:dyDescent="0.25">
      <c r="A162" s="20"/>
      <c r="B162" s="20"/>
      <c r="C162" s="21" t="s">
        <v>41</v>
      </c>
      <c r="D162" s="21">
        <v>500</v>
      </c>
      <c r="E162" s="6">
        <v>4.5999999999999996</v>
      </c>
      <c r="F162" s="6">
        <v>4.99</v>
      </c>
      <c r="H162" s="6">
        <v>4.71</v>
      </c>
      <c r="I162" s="6">
        <v>4.99</v>
      </c>
      <c r="K162" s="11">
        <f t="shared" si="8"/>
        <v>2304.9899999999998</v>
      </c>
      <c r="L162" s="10">
        <f t="shared" si="9"/>
        <v>2350.0100000000002</v>
      </c>
      <c r="M162" s="11">
        <f t="shared" si="10"/>
        <v>45.020000000000437</v>
      </c>
      <c r="N162" s="10">
        <f t="shared" si="11"/>
        <v>0.11000000000000032</v>
      </c>
    </row>
    <row r="163" spans="1:14" x14ac:dyDescent="0.25">
      <c r="A163" s="20"/>
      <c r="B163" s="20"/>
      <c r="C163" s="21" t="s">
        <v>26</v>
      </c>
      <c r="D163" s="21">
        <v>800</v>
      </c>
      <c r="E163" s="6">
        <v>5.44</v>
      </c>
      <c r="F163" s="6">
        <v>4.99</v>
      </c>
      <c r="H163" s="6">
        <v>5.5</v>
      </c>
      <c r="I163" s="6">
        <v>4.99</v>
      </c>
      <c r="K163" s="11">
        <f t="shared" si="8"/>
        <v>4356.99</v>
      </c>
      <c r="L163" s="10">
        <f t="shared" si="9"/>
        <v>4395.01</v>
      </c>
      <c r="M163" s="11">
        <f t="shared" si="10"/>
        <v>38.020000000000437</v>
      </c>
      <c r="N163" s="10">
        <f t="shared" si="11"/>
        <v>5.9999999999999609E-2</v>
      </c>
    </row>
    <row r="164" spans="1:14" x14ac:dyDescent="0.25">
      <c r="A164" s="20"/>
      <c r="B164" s="20"/>
      <c r="C164" s="21" t="s">
        <v>26</v>
      </c>
      <c r="D164" s="21">
        <v>800</v>
      </c>
      <c r="E164" s="6">
        <v>5.62</v>
      </c>
      <c r="F164" s="6">
        <v>4.99</v>
      </c>
      <c r="H164" s="6">
        <v>5.71</v>
      </c>
      <c r="I164" s="6">
        <v>4.99</v>
      </c>
      <c r="K164" s="11">
        <f t="shared" si="8"/>
        <v>4500.99</v>
      </c>
      <c r="L164" s="10">
        <f t="shared" si="9"/>
        <v>4563.01</v>
      </c>
      <c r="M164" s="11">
        <f t="shared" si="10"/>
        <v>62.020000000000437</v>
      </c>
      <c r="N164" s="10">
        <f t="shared" si="11"/>
        <v>8.9999999999999858E-2</v>
      </c>
    </row>
    <row r="165" spans="1:14" x14ac:dyDescent="0.25">
      <c r="A165" s="20"/>
      <c r="B165" s="20" t="s">
        <v>32</v>
      </c>
      <c r="C165" s="48" t="s">
        <v>26</v>
      </c>
      <c r="D165" s="21">
        <v>800</v>
      </c>
      <c r="E165" s="6">
        <v>5.79</v>
      </c>
      <c r="F165" s="6">
        <v>4.99</v>
      </c>
      <c r="H165" s="6">
        <v>5.15</v>
      </c>
      <c r="I165" s="6">
        <v>4.99</v>
      </c>
      <c r="K165" s="11">
        <f t="shared" si="8"/>
        <v>4636.99</v>
      </c>
      <c r="L165" s="10">
        <f t="shared" si="9"/>
        <v>4115.01</v>
      </c>
      <c r="M165" s="11">
        <f t="shared" si="10"/>
        <v>-521.97999999999956</v>
      </c>
      <c r="N165" s="10">
        <f t="shared" si="11"/>
        <v>-0.63999999999999968</v>
      </c>
    </row>
    <row r="166" spans="1:14" x14ac:dyDescent="0.25">
      <c r="A166" s="20">
        <v>42020</v>
      </c>
      <c r="B166" s="20"/>
      <c r="C166" s="48" t="s">
        <v>43</v>
      </c>
      <c r="D166" s="21">
        <v>1000</v>
      </c>
      <c r="E166" s="6">
        <v>3.47</v>
      </c>
      <c r="F166" s="6">
        <v>4.99</v>
      </c>
      <c r="H166" s="6">
        <v>3.41</v>
      </c>
      <c r="I166" s="6">
        <v>4.99</v>
      </c>
      <c r="K166" s="11">
        <f t="shared" si="8"/>
        <v>3474.99</v>
      </c>
      <c r="L166" s="10">
        <f t="shared" si="9"/>
        <v>3405.01</v>
      </c>
      <c r="M166" s="11">
        <f t="shared" si="10"/>
        <v>-69.979999999999563</v>
      </c>
      <c r="N166" s="10">
        <f t="shared" si="11"/>
        <v>-6.0000000000000053E-2</v>
      </c>
    </row>
    <row r="167" spans="1:14" x14ac:dyDescent="0.25">
      <c r="A167" s="20"/>
      <c r="B167" s="20"/>
      <c r="C167" s="21" t="s">
        <v>9</v>
      </c>
      <c r="D167" s="21">
        <v>500</v>
      </c>
      <c r="E167" s="6">
        <v>7.5</v>
      </c>
      <c r="F167" s="6">
        <v>4.99</v>
      </c>
      <c r="H167" s="6">
        <v>7.55</v>
      </c>
      <c r="I167" s="6">
        <v>4.99</v>
      </c>
      <c r="K167" s="11">
        <f t="shared" si="8"/>
        <v>3754.99</v>
      </c>
      <c r="L167" s="10">
        <f t="shared" si="9"/>
        <v>3770.01</v>
      </c>
      <c r="M167" s="11">
        <f t="shared" si="10"/>
        <v>15.020000000000437</v>
      </c>
      <c r="N167" s="10">
        <f t="shared" si="11"/>
        <v>4.9999999999999822E-2</v>
      </c>
    </row>
    <row r="168" spans="1:14" x14ac:dyDescent="0.25">
      <c r="A168" s="20">
        <v>42023</v>
      </c>
      <c r="B168" s="20" t="s">
        <v>31</v>
      </c>
      <c r="C168" s="21" t="s">
        <v>26</v>
      </c>
      <c r="D168" s="21">
        <v>1800</v>
      </c>
      <c r="E168" s="6">
        <v>5.1100000000000003</v>
      </c>
      <c r="F168" s="6">
        <v>4.99</v>
      </c>
      <c r="H168" s="6">
        <v>5.14</v>
      </c>
      <c r="I168" s="6">
        <v>4.99</v>
      </c>
      <c r="K168" s="11">
        <f t="shared" si="8"/>
        <v>9202.99</v>
      </c>
      <c r="L168" s="10">
        <f t="shared" si="9"/>
        <v>9247.01</v>
      </c>
      <c r="M168" s="11">
        <f t="shared" si="10"/>
        <v>44.020000000000437</v>
      </c>
      <c r="N168" s="10">
        <f t="shared" si="11"/>
        <v>2.9999999999999361E-2</v>
      </c>
    </row>
    <row r="169" spans="1:14" x14ac:dyDescent="0.25">
      <c r="A169" s="20"/>
      <c r="B169" s="20" t="s">
        <v>31</v>
      </c>
      <c r="C169" s="21" t="s">
        <v>9</v>
      </c>
      <c r="D169" s="21">
        <v>500</v>
      </c>
      <c r="E169" s="6">
        <v>7.54</v>
      </c>
      <c r="F169" s="6">
        <v>4.99</v>
      </c>
      <c r="H169" s="6">
        <v>7.61</v>
      </c>
      <c r="I169" s="6">
        <v>4.99</v>
      </c>
      <c r="K169" s="11">
        <f t="shared" si="8"/>
        <v>3774.99</v>
      </c>
      <c r="L169" s="10">
        <f t="shared" si="9"/>
        <v>3800.01</v>
      </c>
      <c r="M169" s="11">
        <f t="shared" si="10"/>
        <v>25.020000000000437</v>
      </c>
      <c r="N169" s="10">
        <f t="shared" si="11"/>
        <v>7.0000000000000284E-2</v>
      </c>
    </row>
    <row r="170" spans="1:14" x14ac:dyDescent="0.25">
      <c r="A170" s="20"/>
      <c r="B170" s="20" t="s">
        <v>31</v>
      </c>
      <c r="C170" s="21" t="s">
        <v>9</v>
      </c>
      <c r="D170" s="21">
        <v>1000</v>
      </c>
      <c r="E170" s="6">
        <v>7.65</v>
      </c>
      <c r="F170" s="6">
        <v>4.99</v>
      </c>
      <c r="H170" s="6">
        <v>8.15</v>
      </c>
      <c r="I170" s="6">
        <v>4.99</v>
      </c>
      <c r="K170" s="11">
        <f t="shared" si="8"/>
        <v>7654.99</v>
      </c>
      <c r="L170" s="10">
        <f t="shared" si="9"/>
        <v>8145.01</v>
      </c>
      <c r="M170" s="11">
        <f t="shared" si="10"/>
        <v>490.02000000000044</v>
      </c>
      <c r="N170" s="10">
        <f t="shared" si="11"/>
        <v>0.5</v>
      </c>
    </row>
    <row r="171" spans="1:14" x14ac:dyDescent="0.25">
      <c r="A171" s="20">
        <v>42024</v>
      </c>
      <c r="B171" s="20" t="s">
        <v>31</v>
      </c>
      <c r="C171" s="21" t="s">
        <v>26</v>
      </c>
      <c r="D171" s="21">
        <v>1000</v>
      </c>
      <c r="E171" s="6">
        <v>5.96</v>
      </c>
      <c r="F171" s="6">
        <v>4.99</v>
      </c>
      <c r="H171" s="6">
        <v>5.97</v>
      </c>
      <c r="I171" s="6">
        <v>4.99</v>
      </c>
      <c r="K171" s="11">
        <f t="shared" si="8"/>
        <v>5964.99</v>
      </c>
      <c r="L171" s="10">
        <f t="shared" si="9"/>
        <v>5965.01</v>
      </c>
      <c r="M171" s="11">
        <f t="shared" si="10"/>
        <v>2.0000000000436557E-2</v>
      </c>
      <c r="N171" s="10">
        <f t="shared" si="11"/>
        <v>9.9999999999997868E-3</v>
      </c>
    </row>
    <row r="172" spans="1:14" x14ac:dyDescent="0.25">
      <c r="A172" s="20"/>
      <c r="B172" s="20" t="s">
        <v>31</v>
      </c>
      <c r="C172" s="21" t="s">
        <v>9</v>
      </c>
      <c r="D172" s="21">
        <v>500</v>
      </c>
      <c r="E172" s="6">
        <v>8.3000000000000007</v>
      </c>
      <c r="F172" s="6">
        <v>4.99</v>
      </c>
      <c r="H172" s="6">
        <v>8.23</v>
      </c>
      <c r="I172" s="6">
        <v>4.99</v>
      </c>
      <c r="K172" s="11">
        <f t="shared" si="8"/>
        <v>4154.99</v>
      </c>
      <c r="L172" s="10">
        <f t="shared" si="9"/>
        <v>4110.01</v>
      </c>
      <c r="M172" s="11">
        <f t="shared" si="10"/>
        <v>-44.979999999999563</v>
      </c>
      <c r="N172" s="10">
        <f t="shared" si="11"/>
        <v>-7.0000000000000284E-2</v>
      </c>
    </row>
    <row r="173" spans="1:14" x14ac:dyDescent="0.25">
      <c r="A173" s="20"/>
      <c r="B173" s="20" t="s">
        <v>31</v>
      </c>
      <c r="C173" s="21" t="s">
        <v>9</v>
      </c>
      <c r="D173" s="21">
        <v>500</v>
      </c>
      <c r="E173" s="6">
        <v>8.25</v>
      </c>
      <c r="F173" s="6">
        <v>4.99</v>
      </c>
      <c r="H173" s="6">
        <v>8.34</v>
      </c>
      <c r="I173" s="6">
        <v>4.99</v>
      </c>
      <c r="K173" s="11">
        <f t="shared" si="8"/>
        <v>4129.99</v>
      </c>
      <c r="L173" s="10">
        <f t="shared" si="9"/>
        <v>4165.01</v>
      </c>
      <c r="M173" s="11">
        <f t="shared" si="10"/>
        <v>35.020000000000437</v>
      </c>
      <c r="N173" s="10">
        <f t="shared" si="11"/>
        <v>8.9999999999999858E-2</v>
      </c>
    </row>
    <row r="174" spans="1:14" x14ac:dyDescent="0.25">
      <c r="A174" s="20"/>
      <c r="B174" s="20" t="s">
        <v>31</v>
      </c>
      <c r="C174" s="21" t="s">
        <v>41</v>
      </c>
      <c r="D174" s="21">
        <v>1000</v>
      </c>
      <c r="E174" s="6">
        <v>3.49</v>
      </c>
      <c r="F174" s="6">
        <v>4.99</v>
      </c>
      <c r="G174" s="38">
        <v>1.2067000000000001</v>
      </c>
      <c r="H174" s="6">
        <v>3.7</v>
      </c>
      <c r="I174" s="6">
        <v>4.99</v>
      </c>
      <c r="J174" s="38">
        <v>1.2067000000000001</v>
      </c>
      <c r="K174" s="11">
        <f t="shared" si="8"/>
        <v>4217.4044329999997</v>
      </c>
      <c r="L174" s="10">
        <f t="shared" si="9"/>
        <v>4458.768567000001</v>
      </c>
      <c r="M174" s="11">
        <f t="shared" si="10"/>
        <v>241.36413400000129</v>
      </c>
      <c r="N174" s="10">
        <f t="shared" si="11"/>
        <v>0.20999999999999996</v>
      </c>
    </row>
    <row r="175" spans="1:14" x14ac:dyDescent="0.25">
      <c r="A175" s="20"/>
      <c r="B175" s="20" t="s">
        <v>31</v>
      </c>
      <c r="C175" s="21" t="s">
        <v>43</v>
      </c>
      <c r="D175" s="21">
        <v>350</v>
      </c>
      <c r="E175" s="6">
        <v>2.98</v>
      </c>
      <c r="F175" s="6">
        <v>4.99</v>
      </c>
      <c r="G175" s="38">
        <v>1.2067000000000001</v>
      </c>
      <c r="H175" s="6">
        <v>3.11</v>
      </c>
      <c r="I175" s="6">
        <v>4.99</v>
      </c>
      <c r="J175" s="38">
        <v>1.2067000000000001</v>
      </c>
      <c r="K175" s="11">
        <f t="shared" si="8"/>
        <v>1264.6095330000001</v>
      </c>
      <c r="L175" s="10">
        <f t="shared" si="9"/>
        <v>1307.4715170000002</v>
      </c>
      <c r="M175" s="11">
        <f t="shared" si="10"/>
        <v>42.86198400000012</v>
      </c>
      <c r="N175" s="10">
        <f t="shared" si="11"/>
        <v>0.12999999999999989</v>
      </c>
    </row>
    <row r="176" spans="1:14" x14ac:dyDescent="0.25">
      <c r="A176" s="20">
        <v>42025</v>
      </c>
      <c r="B176" s="20" t="s">
        <v>31</v>
      </c>
      <c r="C176" s="21" t="s">
        <v>43</v>
      </c>
      <c r="D176" s="21">
        <v>350</v>
      </c>
      <c r="E176" s="6">
        <v>3.05</v>
      </c>
      <c r="F176" s="6">
        <v>4.99</v>
      </c>
      <c r="H176" s="6">
        <v>3.09</v>
      </c>
      <c r="I176" s="6">
        <v>4.99</v>
      </c>
      <c r="K176" s="11">
        <f t="shared" si="8"/>
        <v>1072.49</v>
      </c>
      <c r="L176" s="10">
        <f t="shared" si="9"/>
        <v>1076.51</v>
      </c>
      <c r="M176" s="11">
        <f t="shared" si="10"/>
        <v>4.0199999999999818</v>
      </c>
      <c r="N176" s="10">
        <f t="shared" si="11"/>
        <v>4.0000000000000036E-2</v>
      </c>
    </row>
    <row r="177" spans="1:14" x14ac:dyDescent="0.25">
      <c r="A177" s="20"/>
      <c r="B177" s="20"/>
      <c r="C177" s="21" t="s">
        <v>43</v>
      </c>
      <c r="D177" s="21">
        <v>500</v>
      </c>
      <c r="E177" s="6">
        <v>3.05</v>
      </c>
      <c r="F177" s="6">
        <v>4.99</v>
      </c>
      <c r="H177" s="6">
        <v>3.12</v>
      </c>
      <c r="I177" s="6">
        <v>4.99</v>
      </c>
      <c r="K177" s="11">
        <f t="shared" si="8"/>
        <v>1529.99</v>
      </c>
      <c r="L177" s="10">
        <f t="shared" si="9"/>
        <v>1555.01</v>
      </c>
      <c r="M177" s="11">
        <f t="shared" si="10"/>
        <v>25.019999999999982</v>
      </c>
      <c r="N177" s="10">
        <f t="shared" si="11"/>
        <v>7.0000000000000284E-2</v>
      </c>
    </row>
    <row r="178" spans="1:14" x14ac:dyDescent="0.25">
      <c r="A178" s="20"/>
      <c r="B178" s="20"/>
      <c r="C178" s="21" t="s">
        <v>41</v>
      </c>
      <c r="D178" s="21">
        <v>500</v>
      </c>
      <c r="E178" s="6">
        <v>3.65</v>
      </c>
      <c r="F178" s="6">
        <v>4.99</v>
      </c>
      <c r="H178" s="6">
        <v>3.72</v>
      </c>
      <c r="I178" s="6">
        <v>4.99</v>
      </c>
      <c r="K178" s="11">
        <f t="shared" si="8"/>
        <v>1829.99</v>
      </c>
      <c r="L178" s="10">
        <f t="shared" si="9"/>
        <v>1855.01</v>
      </c>
      <c r="M178" s="11">
        <f t="shared" si="10"/>
        <v>25.019999999999982</v>
      </c>
      <c r="N178" s="10">
        <f t="shared" si="11"/>
        <v>7.0000000000000284E-2</v>
      </c>
    </row>
    <row r="179" spans="1:14" x14ac:dyDescent="0.25">
      <c r="A179" s="20"/>
      <c r="B179" s="20"/>
      <c r="C179" s="21" t="s">
        <v>9</v>
      </c>
      <c r="D179" s="21">
        <v>500</v>
      </c>
      <c r="E179" s="6">
        <v>8.42</v>
      </c>
      <c r="F179" s="6">
        <v>4.99</v>
      </c>
      <c r="H179" s="6">
        <v>8.51</v>
      </c>
      <c r="I179" s="6">
        <v>4.99</v>
      </c>
      <c r="K179" s="11">
        <f t="shared" si="8"/>
        <v>4214.99</v>
      </c>
      <c r="L179" s="10">
        <f t="shared" si="9"/>
        <v>4250.01</v>
      </c>
      <c r="M179" s="11">
        <f t="shared" si="10"/>
        <v>35.020000000000437</v>
      </c>
      <c r="N179" s="10">
        <f t="shared" si="11"/>
        <v>8.9999999999999858E-2</v>
      </c>
    </row>
    <row r="180" spans="1:14" x14ac:dyDescent="0.25">
      <c r="A180" s="20">
        <v>42026</v>
      </c>
      <c r="B180" s="20" t="s">
        <v>31</v>
      </c>
      <c r="C180" s="21" t="s">
        <v>43</v>
      </c>
      <c r="D180" s="21">
        <v>500</v>
      </c>
      <c r="E180" s="6">
        <v>3</v>
      </c>
      <c r="F180" s="6">
        <v>4.99</v>
      </c>
      <c r="H180" s="6">
        <v>3.03</v>
      </c>
      <c r="I180" s="6">
        <v>4.99</v>
      </c>
      <c r="K180" s="11">
        <f t="shared" si="8"/>
        <v>1504.99</v>
      </c>
      <c r="L180" s="10">
        <f t="shared" si="9"/>
        <v>1510.01</v>
      </c>
      <c r="M180" s="11">
        <f t="shared" si="10"/>
        <v>5.0199999999999818</v>
      </c>
      <c r="N180" s="10">
        <f t="shared" si="11"/>
        <v>2.9999999999999805E-2</v>
      </c>
    </row>
    <row r="181" spans="1:14" x14ac:dyDescent="0.25">
      <c r="A181" s="20"/>
      <c r="B181" s="20" t="s">
        <v>31</v>
      </c>
      <c r="C181" s="21" t="s">
        <v>41</v>
      </c>
      <c r="D181" s="21">
        <v>500</v>
      </c>
      <c r="E181" s="6">
        <v>3.25</v>
      </c>
      <c r="F181" s="6">
        <v>7.49</v>
      </c>
      <c r="H181" s="6">
        <v>3.62</v>
      </c>
      <c r="I181" s="6">
        <v>7.49</v>
      </c>
      <c r="K181" s="11">
        <f t="shared" si="8"/>
        <v>1632.49</v>
      </c>
      <c r="L181" s="10">
        <f t="shared" si="9"/>
        <v>1802.51</v>
      </c>
      <c r="M181" s="11">
        <f t="shared" si="10"/>
        <v>170.01999999999998</v>
      </c>
      <c r="N181" s="10">
        <f t="shared" si="11"/>
        <v>0.37000000000000011</v>
      </c>
    </row>
    <row r="182" spans="1:14" x14ac:dyDescent="0.25">
      <c r="A182" s="20"/>
      <c r="B182" s="20" t="s">
        <v>31</v>
      </c>
      <c r="C182" s="21" t="s">
        <v>43</v>
      </c>
      <c r="D182" s="21">
        <v>500</v>
      </c>
      <c r="E182" s="6">
        <v>2.79</v>
      </c>
      <c r="F182" s="6">
        <v>4.99</v>
      </c>
      <c r="H182" s="6">
        <v>3.03</v>
      </c>
      <c r="I182" s="6">
        <v>4.99</v>
      </c>
      <c r="K182" s="11">
        <f t="shared" si="8"/>
        <v>1399.99</v>
      </c>
      <c r="L182" s="10">
        <f t="shared" si="9"/>
        <v>1510.01</v>
      </c>
      <c r="M182" s="11">
        <f t="shared" si="10"/>
        <v>110.01999999999998</v>
      </c>
      <c r="N182" s="10">
        <f t="shared" si="11"/>
        <v>0.23999999999999977</v>
      </c>
    </row>
    <row r="183" spans="1:14" x14ac:dyDescent="0.25">
      <c r="A183" s="20">
        <v>23</v>
      </c>
      <c r="B183" s="20" t="s">
        <v>31</v>
      </c>
      <c r="C183" s="21" t="s">
        <v>9</v>
      </c>
      <c r="D183" s="21">
        <v>500</v>
      </c>
      <c r="E183" s="6">
        <v>8.2100000000000009</v>
      </c>
      <c r="F183" s="6">
        <v>4.99</v>
      </c>
      <c r="H183" s="6">
        <v>8.48</v>
      </c>
      <c r="I183" s="6">
        <v>4.99</v>
      </c>
      <c r="K183" s="11">
        <f t="shared" si="8"/>
        <v>4109.99</v>
      </c>
      <c r="L183" s="10">
        <f t="shared" si="9"/>
        <v>4235.01</v>
      </c>
      <c r="M183" s="11">
        <f t="shared" si="10"/>
        <v>125.02000000000044</v>
      </c>
      <c r="N183" s="10">
        <f t="shared" si="11"/>
        <v>0.26999999999999957</v>
      </c>
    </row>
    <row r="184" spans="1:14" x14ac:dyDescent="0.25">
      <c r="A184" s="20"/>
      <c r="B184" s="20" t="s">
        <v>31</v>
      </c>
      <c r="C184" s="21" t="s">
        <v>9</v>
      </c>
      <c r="D184" s="21">
        <v>500</v>
      </c>
      <c r="E184" s="6">
        <v>7.99</v>
      </c>
      <c r="F184" s="6">
        <v>4.99</v>
      </c>
      <c r="H184" s="6">
        <v>8.2100000000000009</v>
      </c>
      <c r="I184" s="6">
        <v>4.99</v>
      </c>
      <c r="K184" s="11">
        <f t="shared" si="8"/>
        <v>3999.99</v>
      </c>
      <c r="L184" s="10">
        <f t="shared" si="9"/>
        <v>4100.01</v>
      </c>
      <c r="M184" s="11">
        <f t="shared" si="10"/>
        <v>100.02000000000044</v>
      </c>
      <c r="N184" s="10">
        <f t="shared" si="11"/>
        <v>0.22000000000000064</v>
      </c>
    </row>
    <row r="185" spans="1:14" x14ac:dyDescent="0.25">
      <c r="A185" s="20">
        <v>42030</v>
      </c>
      <c r="B185" s="20" t="s">
        <v>45</v>
      </c>
      <c r="C185" s="21" t="s">
        <v>41</v>
      </c>
      <c r="D185" s="21">
        <v>500</v>
      </c>
      <c r="E185" s="6">
        <v>3.49</v>
      </c>
      <c r="F185" s="6">
        <v>4.99</v>
      </c>
      <c r="H185" s="6">
        <v>3.58</v>
      </c>
      <c r="I185" s="6">
        <v>4.99</v>
      </c>
      <c r="K185" s="11">
        <f t="shared" si="8"/>
        <v>1749.99</v>
      </c>
      <c r="L185" s="10">
        <f t="shared" si="9"/>
        <v>1785.01</v>
      </c>
      <c r="M185" s="11">
        <f t="shared" si="10"/>
        <v>35.019999999999982</v>
      </c>
      <c r="N185" s="10">
        <f t="shared" si="11"/>
        <v>8.9999999999999858E-2</v>
      </c>
    </row>
    <row r="186" spans="1:14" x14ac:dyDescent="0.25">
      <c r="A186" s="20"/>
      <c r="B186" s="20" t="s">
        <v>45</v>
      </c>
      <c r="C186" s="48" t="s">
        <v>41</v>
      </c>
      <c r="D186" s="21">
        <v>500</v>
      </c>
      <c r="E186" s="6">
        <v>3.51</v>
      </c>
      <c r="F186" s="6">
        <v>4.99</v>
      </c>
      <c r="I186" s="6">
        <v>4.99</v>
      </c>
      <c r="K186" s="11">
        <f t="shared" si="8"/>
        <v>1759.99</v>
      </c>
      <c r="L186" s="10">
        <f t="shared" si="9"/>
        <v>0</v>
      </c>
      <c r="M186" s="11">
        <f t="shared" si="10"/>
        <v>0</v>
      </c>
      <c r="N186" s="10">
        <f t="shared" si="11"/>
        <v>0</v>
      </c>
    </row>
    <row r="187" spans="1:14" x14ac:dyDescent="0.25">
      <c r="A187" s="20">
        <v>42031</v>
      </c>
      <c r="B187" s="20" t="s">
        <v>31</v>
      </c>
      <c r="C187" s="21" t="s">
        <v>9</v>
      </c>
      <c r="D187" s="21">
        <v>500</v>
      </c>
      <c r="E187" s="6">
        <v>8.48</v>
      </c>
      <c r="F187" s="6">
        <v>4.99</v>
      </c>
      <c r="H187" s="6">
        <v>8.65</v>
      </c>
      <c r="I187" s="6">
        <v>4.99</v>
      </c>
      <c r="K187" s="11">
        <f t="shared" si="8"/>
        <v>4244.99</v>
      </c>
      <c r="L187" s="10">
        <f t="shared" si="9"/>
        <v>4320.01</v>
      </c>
      <c r="M187" s="11">
        <f t="shared" si="10"/>
        <v>75.020000000000437</v>
      </c>
      <c r="N187" s="10">
        <f t="shared" si="11"/>
        <v>0.16999999999999993</v>
      </c>
    </row>
    <row r="188" spans="1:14" x14ac:dyDescent="0.25">
      <c r="A188" s="20"/>
      <c r="B188" s="20" t="s">
        <v>31</v>
      </c>
      <c r="C188" s="21" t="s">
        <v>9</v>
      </c>
      <c r="D188" s="21">
        <v>500</v>
      </c>
      <c r="E188" s="6">
        <v>8.5399999999999991</v>
      </c>
      <c r="F188" s="6">
        <v>4.99</v>
      </c>
      <c r="H188" s="6">
        <v>8.6199999999999992</v>
      </c>
      <c r="I188" s="6">
        <v>4.99</v>
      </c>
      <c r="K188" s="11">
        <f t="shared" si="8"/>
        <v>4274.99</v>
      </c>
      <c r="L188" s="10">
        <f t="shared" si="9"/>
        <v>4305.01</v>
      </c>
      <c r="M188" s="11">
        <f t="shared" si="10"/>
        <v>30.020000000000437</v>
      </c>
      <c r="N188" s="10">
        <f t="shared" si="11"/>
        <v>8.0000000000000071E-2</v>
      </c>
    </row>
    <row r="189" spans="1:14" x14ac:dyDescent="0.25">
      <c r="A189" s="20">
        <v>42032</v>
      </c>
      <c r="B189" s="20" t="s">
        <v>31</v>
      </c>
      <c r="C189" s="21" t="s">
        <v>41</v>
      </c>
      <c r="D189" s="21">
        <v>500</v>
      </c>
      <c r="E189" s="6">
        <v>3.25</v>
      </c>
      <c r="F189" s="6">
        <v>4.99</v>
      </c>
      <c r="H189" s="6">
        <v>3.28</v>
      </c>
      <c r="I189" s="6">
        <v>4.99</v>
      </c>
      <c r="K189" s="11">
        <f t="shared" si="8"/>
        <v>1629.99</v>
      </c>
      <c r="L189" s="10">
        <f t="shared" si="9"/>
        <v>1635.01</v>
      </c>
      <c r="M189" s="11">
        <f t="shared" si="10"/>
        <v>5.0199999999999818</v>
      </c>
      <c r="N189" s="10">
        <f t="shared" si="11"/>
        <v>2.9999999999999805E-2</v>
      </c>
    </row>
    <row r="190" spans="1:14" x14ac:dyDescent="0.25">
      <c r="A190" s="20"/>
      <c r="B190" s="20" t="s">
        <v>31</v>
      </c>
      <c r="C190" s="21" t="s">
        <v>43</v>
      </c>
      <c r="D190" s="21">
        <v>500</v>
      </c>
      <c r="E190" s="6">
        <v>2.58</v>
      </c>
      <c r="F190" s="6">
        <v>4.99</v>
      </c>
      <c r="H190" s="6">
        <v>2.65</v>
      </c>
      <c r="I190" s="6">
        <v>4.99</v>
      </c>
      <c r="K190" s="11">
        <f t="shared" si="8"/>
        <v>1294.99</v>
      </c>
      <c r="L190" s="10">
        <f t="shared" si="9"/>
        <v>1320.01</v>
      </c>
      <c r="M190" s="11">
        <f t="shared" si="10"/>
        <v>25.019999999999982</v>
      </c>
      <c r="N190" s="10">
        <f t="shared" si="11"/>
        <v>6.999999999999984E-2</v>
      </c>
    </row>
    <row r="191" spans="1:14" x14ac:dyDescent="0.25">
      <c r="A191" s="20"/>
      <c r="B191" s="20" t="s">
        <v>31</v>
      </c>
      <c r="C191" s="21" t="s">
        <v>9</v>
      </c>
      <c r="D191" s="21">
        <v>500</v>
      </c>
      <c r="E191" s="6">
        <v>8.5500000000000007</v>
      </c>
      <c r="F191" s="6">
        <v>4.99</v>
      </c>
      <c r="H191" s="6">
        <v>8.6199999999999992</v>
      </c>
      <c r="I191" s="6">
        <v>4.99</v>
      </c>
      <c r="K191" s="11">
        <f t="shared" si="8"/>
        <v>4279.99</v>
      </c>
      <c r="L191" s="10">
        <f t="shared" si="9"/>
        <v>4305.01</v>
      </c>
      <c r="M191" s="11">
        <f t="shared" si="10"/>
        <v>25.020000000000437</v>
      </c>
      <c r="N191" s="10">
        <f t="shared" si="11"/>
        <v>6.9999999999998508E-2</v>
      </c>
    </row>
    <row r="192" spans="1:14" x14ac:dyDescent="0.25">
      <c r="A192" s="20"/>
      <c r="B192" s="20" t="s">
        <v>31</v>
      </c>
      <c r="C192" s="21" t="s">
        <v>43</v>
      </c>
      <c r="D192" s="21">
        <v>500</v>
      </c>
      <c r="E192" s="6">
        <v>2.62</v>
      </c>
      <c r="F192" s="6">
        <v>4.99</v>
      </c>
      <c r="H192" s="6">
        <v>2.74</v>
      </c>
      <c r="I192" s="6">
        <v>4.99</v>
      </c>
      <c r="K192" s="11">
        <f t="shared" si="8"/>
        <v>1314.99</v>
      </c>
      <c r="L192" s="10">
        <f t="shared" si="9"/>
        <v>1365.01</v>
      </c>
      <c r="M192" s="11">
        <f t="shared" si="10"/>
        <v>50.019999999999982</v>
      </c>
      <c r="N192" s="10">
        <f t="shared" si="11"/>
        <v>0.12000000000000011</v>
      </c>
    </row>
    <row r="193" spans="1:14" x14ac:dyDescent="0.25">
      <c r="A193" s="20"/>
      <c r="B193" s="20" t="s">
        <v>31</v>
      </c>
      <c r="C193" s="21" t="s">
        <v>9</v>
      </c>
      <c r="D193" s="21">
        <v>500</v>
      </c>
      <c r="E193" s="6">
        <v>8.56</v>
      </c>
      <c r="F193" s="6">
        <v>4.99</v>
      </c>
      <c r="H193" s="6">
        <v>8.61</v>
      </c>
      <c r="I193" s="6">
        <v>4.99</v>
      </c>
      <c r="K193" s="11">
        <f t="shared" si="8"/>
        <v>4284.99</v>
      </c>
      <c r="L193" s="10">
        <f t="shared" si="9"/>
        <v>4300.01</v>
      </c>
      <c r="M193" s="11">
        <f t="shared" si="10"/>
        <v>15.020000000000437</v>
      </c>
      <c r="N193" s="10">
        <f t="shared" si="11"/>
        <v>4.9999999999998934E-2</v>
      </c>
    </row>
    <row r="194" spans="1:14" x14ac:dyDescent="0.25">
      <c r="A194" s="20"/>
      <c r="B194" s="20" t="s">
        <v>31</v>
      </c>
      <c r="C194" s="21" t="s">
        <v>43</v>
      </c>
      <c r="D194" s="21">
        <v>500</v>
      </c>
      <c r="E194" s="6">
        <v>2.4700000000000002</v>
      </c>
      <c r="F194" s="6">
        <v>4.99</v>
      </c>
      <c r="H194" s="6">
        <v>2.4900000000000002</v>
      </c>
      <c r="I194" s="6">
        <v>4.99</v>
      </c>
      <c r="K194" s="11">
        <f t="shared" si="8"/>
        <v>1239.99</v>
      </c>
      <c r="L194" s="10">
        <f t="shared" si="9"/>
        <v>1240.01</v>
      </c>
      <c r="M194" s="11">
        <f t="shared" si="10"/>
        <v>1.999999999998181E-2</v>
      </c>
      <c r="N194" s="10">
        <f t="shared" si="11"/>
        <v>2.0000000000000018E-2</v>
      </c>
    </row>
    <row r="195" spans="1:14" x14ac:dyDescent="0.25">
      <c r="A195" s="20"/>
      <c r="B195" s="20" t="s">
        <v>31</v>
      </c>
      <c r="C195" s="21" t="s">
        <v>9</v>
      </c>
      <c r="D195" s="21">
        <v>500</v>
      </c>
      <c r="E195" s="6">
        <v>8.56</v>
      </c>
      <c r="F195" s="6">
        <v>4.99</v>
      </c>
      <c r="H195" s="6">
        <v>8.69</v>
      </c>
      <c r="I195" s="6">
        <v>4.99</v>
      </c>
      <c r="K195" s="11">
        <f t="shared" si="8"/>
        <v>4284.99</v>
      </c>
      <c r="L195" s="10">
        <f t="shared" si="9"/>
        <v>4340.01</v>
      </c>
      <c r="M195" s="11">
        <f t="shared" si="10"/>
        <v>55.020000000000437</v>
      </c>
      <c r="N195" s="10">
        <f t="shared" si="11"/>
        <v>0.12999999999999901</v>
      </c>
    </row>
    <row r="196" spans="1:14" x14ac:dyDescent="0.25">
      <c r="A196" s="20"/>
      <c r="B196" s="20" t="s">
        <v>31</v>
      </c>
      <c r="C196" s="21" t="s">
        <v>9</v>
      </c>
      <c r="D196" s="21">
        <v>400</v>
      </c>
      <c r="E196" s="6">
        <v>8.32</v>
      </c>
      <c r="F196" s="6">
        <v>4.99</v>
      </c>
      <c r="H196" s="6">
        <v>8.4499999999999993</v>
      </c>
      <c r="I196" s="6">
        <v>4.99</v>
      </c>
      <c r="K196" s="11">
        <f t="shared" si="8"/>
        <v>3332.99</v>
      </c>
      <c r="L196" s="10">
        <f t="shared" si="9"/>
        <v>3375.0099999999998</v>
      </c>
      <c r="M196" s="11">
        <f t="shared" si="10"/>
        <v>42.019999999999982</v>
      </c>
      <c r="N196" s="10">
        <f t="shared" si="11"/>
        <v>0.12999999999999901</v>
      </c>
    </row>
    <row r="197" spans="1:14" x14ac:dyDescent="0.25">
      <c r="A197" s="20">
        <v>42033</v>
      </c>
      <c r="B197" s="20" t="s">
        <v>46</v>
      </c>
      <c r="C197" s="21" t="s">
        <v>41</v>
      </c>
      <c r="D197" s="21">
        <v>500</v>
      </c>
      <c r="E197" s="6">
        <v>2.8</v>
      </c>
      <c r="F197" s="6">
        <v>4.99</v>
      </c>
      <c r="H197" s="6">
        <v>2.85</v>
      </c>
      <c r="I197" s="6">
        <v>4.99</v>
      </c>
      <c r="K197" s="11">
        <f t="shared" si="8"/>
        <v>1404.99</v>
      </c>
      <c r="L197" s="10">
        <f t="shared" si="9"/>
        <v>1420.01</v>
      </c>
      <c r="M197" s="11">
        <f t="shared" si="10"/>
        <v>15.019999999999982</v>
      </c>
      <c r="N197" s="10">
        <f t="shared" si="11"/>
        <v>5.0000000000000266E-2</v>
      </c>
    </row>
    <row r="198" spans="1:14" x14ac:dyDescent="0.25">
      <c r="A198" s="20">
        <v>42034</v>
      </c>
      <c r="B198" s="20" t="s">
        <v>46</v>
      </c>
      <c r="C198" s="48" t="s">
        <v>41</v>
      </c>
      <c r="D198" s="21">
        <v>500</v>
      </c>
      <c r="E198" s="6">
        <v>2.76</v>
      </c>
      <c r="F198" s="6">
        <v>4.99</v>
      </c>
      <c r="H198" s="6">
        <v>2.91</v>
      </c>
      <c r="I198" s="6">
        <v>4.99</v>
      </c>
      <c r="K198" s="11">
        <f t="shared" ref="K198:K200" si="12">IF(D198&gt;0,IF(G198&gt;0,((D198*E198)+F198)*G198,(D198*E198)+F198),0)</f>
        <v>1384.99</v>
      </c>
      <c r="L198" s="10">
        <f t="shared" ref="L198:L200" si="13">IF(H198&gt;0,IF(J198&gt;0,((D198*H198)-I198)*J198,(D198*H198)-I198),0)</f>
        <v>1450.01</v>
      </c>
      <c r="M198" s="11">
        <f t="shared" ref="M198:M200" si="14">IF(H198&gt;0,L198-K198,0)</f>
        <v>65.019999999999982</v>
      </c>
      <c r="N198" s="10">
        <f t="shared" ref="N198:N200" si="15">IF(H198&gt;0,H198-E198,0)</f>
        <v>0.15000000000000036</v>
      </c>
    </row>
    <row r="199" spans="1:14" x14ac:dyDescent="0.25">
      <c r="A199" s="20"/>
      <c r="B199" s="20" t="s">
        <v>31</v>
      </c>
      <c r="C199" s="21" t="s">
        <v>43</v>
      </c>
      <c r="D199" s="21">
        <v>500</v>
      </c>
      <c r="E199" s="6">
        <v>2.76</v>
      </c>
      <c r="F199" s="6">
        <v>4.99</v>
      </c>
      <c r="H199" s="6">
        <v>2.84</v>
      </c>
      <c r="I199" s="6">
        <v>4.99</v>
      </c>
      <c r="K199" s="11">
        <f t="shared" si="12"/>
        <v>1384.99</v>
      </c>
      <c r="L199" s="10">
        <f t="shared" si="13"/>
        <v>1415.01</v>
      </c>
      <c r="M199" s="11">
        <f t="shared" si="14"/>
        <v>30.019999999999982</v>
      </c>
      <c r="N199" s="10">
        <f t="shared" si="15"/>
        <v>8.0000000000000071E-2</v>
      </c>
    </row>
    <row r="200" spans="1:14" x14ac:dyDescent="0.25">
      <c r="A200" s="20"/>
      <c r="B200" s="20" t="s">
        <v>31</v>
      </c>
      <c r="C200" s="21" t="s">
        <v>43</v>
      </c>
      <c r="D200" s="21">
        <v>500</v>
      </c>
      <c r="E200" s="6">
        <v>2.86</v>
      </c>
      <c r="F200" s="6">
        <v>4.99</v>
      </c>
      <c r="H200" s="6">
        <v>2.91</v>
      </c>
      <c r="I200" s="6">
        <v>4.99</v>
      </c>
      <c r="K200" s="11">
        <f t="shared" si="12"/>
        <v>1434.99</v>
      </c>
      <c r="L200" s="10">
        <f t="shared" si="13"/>
        <v>1450.01</v>
      </c>
      <c r="M200" s="11">
        <f t="shared" si="14"/>
        <v>15.019999999999982</v>
      </c>
      <c r="N200" s="10">
        <f t="shared" si="15"/>
        <v>5.0000000000000266E-2</v>
      </c>
    </row>
    <row r="201" spans="1:14" s="4" customFormat="1" x14ac:dyDescent="0.25">
      <c r="A201" s="20">
        <v>42037</v>
      </c>
      <c r="B201" s="20" t="s">
        <v>31</v>
      </c>
      <c r="C201" s="48" t="s">
        <v>40</v>
      </c>
      <c r="D201" s="21">
        <v>1000</v>
      </c>
      <c r="E201" s="6">
        <v>2.67</v>
      </c>
      <c r="F201" s="6">
        <v>4.99</v>
      </c>
      <c r="G201" s="38">
        <v>1.2615000000000001</v>
      </c>
      <c r="H201" s="6">
        <v>2.76</v>
      </c>
      <c r="I201" s="6">
        <v>4.99</v>
      </c>
      <c r="J201" s="38">
        <v>1.2615000000000001</v>
      </c>
      <c r="K201" s="11">
        <f>IF(D201&gt;0,IF(G201&gt;0,((D201*E201)+F201)*G201,(D201*E201)+F201),0)</f>
        <v>3374.4998849999997</v>
      </c>
      <c r="L201" s="10">
        <f>IF(H201&gt;0,IF(J201&gt;0,((D201*H201)-I201)*J201,(D201*H201)-I201),0)</f>
        <v>3475.4451150000004</v>
      </c>
      <c r="M201" s="11">
        <f>IF(H201&gt;0,L201-K201,0)</f>
        <v>100.94523000000072</v>
      </c>
      <c r="N201" s="10">
        <f>IF(H201&gt;0,H201-E201,0)</f>
        <v>8.9999999999999858E-2</v>
      </c>
    </row>
    <row r="202" spans="1:14" x14ac:dyDescent="0.25">
      <c r="A202" s="20"/>
      <c r="B202" s="20"/>
      <c r="K202" s="11">
        <f t="shared" ref="K202:K265" si="16">IF(D202&gt;0,IF(G202&gt;0,((D202*E202)+F202)*G202,(D202*E202)+F202),0)</f>
        <v>0</v>
      </c>
      <c r="L202" s="10">
        <f t="shared" ref="L202:L265" si="17">IF(H202&gt;0,IF(J202&gt;0,((D202*H202)-I202)*J202,(D202*H202)-I202),0)</f>
        <v>0</v>
      </c>
      <c r="M202" s="11">
        <f t="shared" ref="M202:M265" si="18">IF(H202&gt;0,L202-K202,0)</f>
        <v>0</v>
      </c>
      <c r="N202" s="10">
        <f t="shared" ref="N202:N265" si="19">IF(H202&gt;0,H202-E202,0)</f>
        <v>0</v>
      </c>
    </row>
    <row r="203" spans="1:14" x14ac:dyDescent="0.25">
      <c r="A203" s="20"/>
      <c r="B203" s="20"/>
      <c r="K203" s="11">
        <f t="shared" si="16"/>
        <v>0</v>
      </c>
      <c r="L203" s="10">
        <f t="shared" si="17"/>
        <v>0</v>
      </c>
      <c r="M203" s="11">
        <f t="shared" si="18"/>
        <v>0</v>
      </c>
      <c r="N203" s="10">
        <f t="shared" si="19"/>
        <v>0</v>
      </c>
    </row>
    <row r="204" spans="1:14" x14ac:dyDescent="0.25">
      <c r="A204" s="20"/>
      <c r="B204" s="20"/>
      <c r="K204" s="11">
        <f t="shared" si="16"/>
        <v>0</v>
      </c>
      <c r="L204" s="10">
        <f t="shared" si="17"/>
        <v>0</v>
      </c>
      <c r="M204" s="11">
        <f t="shared" si="18"/>
        <v>0</v>
      </c>
      <c r="N204" s="10">
        <f t="shared" si="19"/>
        <v>0</v>
      </c>
    </row>
    <row r="205" spans="1:14" x14ac:dyDescent="0.25">
      <c r="A205" s="20"/>
      <c r="B205" s="20"/>
      <c r="K205" s="11">
        <f t="shared" si="16"/>
        <v>0</v>
      </c>
      <c r="L205" s="10">
        <f t="shared" si="17"/>
        <v>0</v>
      </c>
      <c r="M205" s="11">
        <f t="shared" si="18"/>
        <v>0</v>
      </c>
      <c r="N205" s="10">
        <f t="shared" si="19"/>
        <v>0</v>
      </c>
    </row>
    <row r="206" spans="1:14" x14ac:dyDescent="0.25">
      <c r="A206" s="20"/>
      <c r="B206" s="20"/>
      <c r="K206" s="11">
        <f t="shared" si="16"/>
        <v>0</v>
      </c>
      <c r="L206" s="10">
        <f t="shared" si="17"/>
        <v>0</v>
      </c>
      <c r="M206" s="11">
        <f t="shared" si="18"/>
        <v>0</v>
      </c>
      <c r="N206" s="10">
        <f t="shared" si="19"/>
        <v>0</v>
      </c>
    </row>
    <row r="207" spans="1:14" x14ac:dyDescent="0.25">
      <c r="A207" s="20"/>
      <c r="B207" s="20"/>
      <c r="K207" s="11">
        <f t="shared" si="16"/>
        <v>0</v>
      </c>
      <c r="L207" s="10">
        <f t="shared" si="17"/>
        <v>0</v>
      </c>
      <c r="M207" s="11">
        <f t="shared" si="18"/>
        <v>0</v>
      </c>
      <c r="N207" s="10">
        <f t="shared" si="19"/>
        <v>0</v>
      </c>
    </row>
    <row r="208" spans="1:14" x14ac:dyDescent="0.25">
      <c r="A208" s="20"/>
      <c r="B208" s="20"/>
      <c r="K208" s="11">
        <f t="shared" si="16"/>
        <v>0</v>
      </c>
      <c r="L208" s="10">
        <f t="shared" si="17"/>
        <v>0</v>
      </c>
      <c r="M208" s="11">
        <f t="shared" si="18"/>
        <v>0</v>
      </c>
      <c r="N208" s="10">
        <f t="shared" si="19"/>
        <v>0</v>
      </c>
    </row>
    <row r="209" spans="1:14" x14ac:dyDescent="0.25">
      <c r="A209" s="20"/>
      <c r="B209" s="20"/>
      <c r="K209" s="11">
        <f t="shared" si="16"/>
        <v>0</v>
      </c>
      <c r="L209" s="10">
        <f t="shared" si="17"/>
        <v>0</v>
      </c>
      <c r="M209" s="11">
        <f t="shared" si="18"/>
        <v>0</v>
      </c>
      <c r="N209" s="10">
        <f t="shared" si="19"/>
        <v>0</v>
      </c>
    </row>
    <row r="210" spans="1:14" x14ac:dyDescent="0.25">
      <c r="A210" s="20"/>
      <c r="B210" s="20"/>
      <c r="K210" s="11">
        <f t="shared" si="16"/>
        <v>0</v>
      </c>
      <c r="L210" s="10">
        <f t="shared" si="17"/>
        <v>0</v>
      </c>
      <c r="M210" s="11">
        <f t="shared" si="18"/>
        <v>0</v>
      </c>
      <c r="N210" s="10">
        <f t="shared" si="19"/>
        <v>0</v>
      </c>
    </row>
    <row r="211" spans="1:14" x14ac:dyDescent="0.25">
      <c r="A211" s="20"/>
      <c r="B211" s="20"/>
      <c r="K211" s="11">
        <f t="shared" si="16"/>
        <v>0</v>
      </c>
      <c r="L211" s="10">
        <f t="shared" si="17"/>
        <v>0</v>
      </c>
      <c r="M211" s="11">
        <f t="shared" si="18"/>
        <v>0</v>
      </c>
      <c r="N211" s="10">
        <f t="shared" si="19"/>
        <v>0</v>
      </c>
    </row>
    <row r="212" spans="1:14" x14ac:dyDescent="0.25">
      <c r="A212" s="20"/>
      <c r="B212" s="20"/>
      <c r="K212" s="11">
        <f t="shared" si="16"/>
        <v>0</v>
      </c>
      <c r="L212" s="10">
        <f t="shared" si="17"/>
        <v>0</v>
      </c>
      <c r="M212" s="11">
        <f t="shared" si="18"/>
        <v>0</v>
      </c>
      <c r="N212" s="10">
        <f t="shared" si="19"/>
        <v>0</v>
      </c>
    </row>
    <row r="213" spans="1:14" x14ac:dyDescent="0.25">
      <c r="A213" s="20"/>
      <c r="B213" s="20"/>
      <c r="K213" s="11">
        <f t="shared" si="16"/>
        <v>0</v>
      </c>
      <c r="L213" s="10">
        <f t="shared" si="17"/>
        <v>0</v>
      </c>
      <c r="M213" s="11">
        <f t="shared" si="18"/>
        <v>0</v>
      </c>
      <c r="N213" s="10">
        <f t="shared" si="19"/>
        <v>0</v>
      </c>
    </row>
    <row r="214" spans="1:14" x14ac:dyDescent="0.25">
      <c r="A214" s="20"/>
      <c r="B214" s="20"/>
      <c r="K214" s="11">
        <f t="shared" si="16"/>
        <v>0</v>
      </c>
      <c r="L214" s="10">
        <f t="shared" si="17"/>
        <v>0</v>
      </c>
      <c r="M214" s="11">
        <f t="shared" si="18"/>
        <v>0</v>
      </c>
      <c r="N214" s="10">
        <f t="shared" si="19"/>
        <v>0</v>
      </c>
    </row>
    <row r="215" spans="1:14" x14ac:dyDescent="0.25">
      <c r="A215" s="20"/>
      <c r="B215" s="20"/>
      <c r="K215" s="11">
        <f t="shared" si="16"/>
        <v>0</v>
      </c>
      <c r="L215" s="10">
        <f t="shared" si="17"/>
        <v>0</v>
      </c>
      <c r="M215" s="11">
        <f t="shared" si="18"/>
        <v>0</v>
      </c>
      <c r="N215" s="10">
        <f t="shared" si="19"/>
        <v>0</v>
      </c>
    </row>
    <row r="216" spans="1:14" x14ac:dyDescent="0.25">
      <c r="A216" s="20"/>
      <c r="B216" s="20"/>
      <c r="K216" s="11">
        <f t="shared" si="16"/>
        <v>0</v>
      </c>
      <c r="L216" s="10">
        <f t="shared" si="17"/>
        <v>0</v>
      </c>
      <c r="M216" s="11">
        <f t="shared" si="18"/>
        <v>0</v>
      </c>
      <c r="N216" s="10">
        <f t="shared" si="19"/>
        <v>0</v>
      </c>
    </row>
    <row r="217" spans="1:14" x14ac:dyDescent="0.25">
      <c r="A217" s="20"/>
      <c r="B217" s="20"/>
      <c r="K217" s="11">
        <f t="shared" si="16"/>
        <v>0</v>
      </c>
      <c r="L217" s="10">
        <f t="shared" si="17"/>
        <v>0</v>
      </c>
      <c r="M217" s="11">
        <f t="shared" si="18"/>
        <v>0</v>
      </c>
      <c r="N217" s="10">
        <f t="shared" si="19"/>
        <v>0</v>
      </c>
    </row>
    <row r="218" spans="1:14" x14ac:dyDescent="0.25">
      <c r="A218" s="20"/>
      <c r="B218" s="20"/>
      <c r="K218" s="11">
        <f t="shared" si="16"/>
        <v>0</v>
      </c>
      <c r="L218" s="10">
        <f t="shared" si="17"/>
        <v>0</v>
      </c>
      <c r="M218" s="11">
        <f t="shared" si="18"/>
        <v>0</v>
      </c>
      <c r="N218" s="10">
        <f t="shared" si="19"/>
        <v>0</v>
      </c>
    </row>
    <row r="219" spans="1:14" x14ac:dyDescent="0.25">
      <c r="A219" s="20"/>
      <c r="B219" s="20"/>
      <c r="K219" s="11">
        <f t="shared" si="16"/>
        <v>0</v>
      </c>
      <c r="L219" s="10">
        <f t="shared" si="17"/>
        <v>0</v>
      </c>
      <c r="M219" s="11">
        <f t="shared" si="18"/>
        <v>0</v>
      </c>
      <c r="N219" s="10">
        <f t="shared" si="19"/>
        <v>0</v>
      </c>
    </row>
    <row r="220" spans="1:14" x14ac:dyDescent="0.25">
      <c r="A220" s="20"/>
      <c r="B220" s="20"/>
      <c r="K220" s="11">
        <f t="shared" si="16"/>
        <v>0</v>
      </c>
      <c r="L220" s="10">
        <f t="shared" si="17"/>
        <v>0</v>
      </c>
      <c r="M220" s="11">
        <f t="shared" si="18"/>
        <v>0</v>
      </c>
      <c r="N220" s="10">
        <f t="shared" si="19"/>
        <v>0</v>
      </c>
    </row>
    <row r="221" spans="1:14" x14ac:dyDescent="0.25">
      <c r="A221" s="20"/>
      <c r="B221" s="20"/>
      <c r="K221" s="11">
        <f t="shared" si="16"/>
        <v>0</v>
      </c>
      <c r="L221" s="10">
        <f t="shared" si="17"/>
        <v>0</v>
      </c>
      <c r="M221" s="11">
        <f t="shared" si="18"/>
        <v>0</v>
      </c>
      <c r="N221" s="10">
        <f t="shared" si="19"/>
        <v>0</v>
      </c>
    </row>
    <row r="222" spans="1:14" x14ac:dyDescent="0.25">
      <c r="A222" s="20"/>
      <c r="B222" s="20"/>
      <c r="K222" s="11">
        <f t="shared" si="16"/>
        <v>0</v>
      </c>
      <c r="L222" s="10">
        <f t="shared" si="17"/>
        <v>0</v>
      </c>
      <c r="M222" s="11">
        <f t="shared" si="18"/>
        <v>0</v>
      </c>
      <c r="N222" s="10">
        <f t="shared" si="19"/>
        <v>0</v>
      </c>
    </row>
    <row r="223" spans="1:14" x14ac:dyDescent="0.25">
      <c r="A223" s="20"/>
      <c r="B223" s="20"/>
      <c r="K223" s="11">
        <f t="shared" si="16"/>
        <v>0</v>
      </c>
      <c r="L223" s="10">
        <f t="shared" si="17"/>
        <v>0</v>
      </c>
      <c r="M223" s="11">
        <f t="shared" si="18"/>
        <v>0</v>
      </c>
      <c r="N223" s="10">
        <f t="shared" si="19"/>
        <v>0</v>
      </c>
    </row>
    <row r="224" spans="1:14" x14ac:dyDescent="0.25">
      <c r="A224" s="20"/>
      <c r="B224" s="20"/>
      <c r="K224" s="11">
        <f t="shared" si="16"/>
        <v>0</v>
      </c>
      <c r="L224" s="10">
        <f t="shared" si="17"/>
        <v>0</v>
      </c>
      <c r="M224" s="11">
        <f t="shared" si="18"/>
        <v>0</v>
      </c>
      <c r="N224" s="10">
        <f t="shared" si="19"/>
        <v>0</v>
      </c>
    </row>
    <row r="225" spans="1:14" x14ac:dyDescent="0.25">
      <c r="A225" s="20"/>
      <c r="B225" s="20"/>
      <c r="K225" s="11">
        <f t="shared" si="16"/>
        <v>0</v>
      </c>
      <c r="L225" s="10">
        <f t="shared" si="17"/>
        <v>0</v>
      </c>
      <c r="M225" s="11">
        <f t="shared" si="18"/>
        <v>0</v>
      </c>
      <c r="N225" s="10">
        <f t="shared" si="19"/>
        <v>0</v>
      </c>
    </row>
    <row r="226" spans="1:14" x14ac:dyDescent="0.25">
      <c r="A226" s="20"/>
      <c r="B226" s="20"/>
      <c r="K226" s="11">
        <f t="shared" si="16"/>
        <v>0</v>
      </c>
      <c r="L226" s="10">
        <f t="shared" si="17"/>
        <v>0</v>
      </c>
      <c r="M226" s="11">
        <f t="shared" si="18"/>
        <v>0</v>
      </c>
      <c r="N226" s="10">
        <f t="shared" si="19"/>
        <v>0</v>
      </c>
    </row>
    <row r="227" spans="1:14" x14ac:dyDescent="0.25">
      <c r="A227" s="20"/>
      <c r="B227" s="20"/>
      <c r="K227" s="11">
        <f t="shared" si="16"/>
        <v>0</v>
      </c>
      <c r="L227" s="10">
        <f t="shared" si="17"/>
        <v>0</v>
      </c>
      <c r="M227" s="11">
        <f t="shared" si="18"/>
        <v>0</v>
      </c>
      <c r="N227" s="10">
        <f t="shared" si="19"/>
        <v>0</v>
      </c>
    </row>
    <row r="228" spans="1:14" x14ac:dyDescent="0.25">
      <c r="A228" s="20"/>
      <c r="B228" s="20"/>
      <c r="K228" s="11">
        <f t="shared" si="16"/>
        <v>0</v>
      </c>
      <c r="L228" s="10">
        <f t="shared" si="17"/>
        <v>0</v>
      </c>
      <c r="M228" s="11">
        <f t="shared" si="18"/>
        <v>0</v>
      </c>
      <c r="N228" s="10">
        <f t="shared" si="19"/>
        <v>0</v>
      </c>
    </row>
    <row r="229" spans="1:14" x14ac:dyDescent="0.25">
      <c r="A229" s="20"/>
      <c r="B229" s="20"/>
      <c r="K229" s="11">
        <f t="shared" si="16"/>
        <v>0</v>
      </c>
      <c r="L229" s="10">
        <f t="shared" si="17"/>
        <v>0</v>
      </c>
      <c r="M229" s="11">
        <f t="shared" si="18"/>
        <v>0</v>
      </c>
      <c r="N229" s="10">
        <f t="shared" si="19"/>
        <v>0</v>
      </c>
    </row>
    <row r="230" spans="1:14" x14ac:dyDescent="0.25">
      <c r="A230" s="20"/>
      <c r="B230" s="20"/>
      <c r="K230" s="11">
        <f t="shared" si="16"/>
        <v>0</v>
      </c>
      <c r="L230" s="10">
        <f t="shared" si="17"/>
        <v>0</v>
      </c>
      <c r="M230" s="11">
        <f t="shared" si="18"/>
        <v>0</v>
      </c>
      <c r="N230" s="10">
        <f t="shared" si="19"/>
        <v>0</v>
      </c>
    </row>
    <row r="231" spans="1:14" x14ac:dyDescent="0.25">
      <c r="A231" s="20"/>
      <c r="B231" s="20"/>
      <c r="K231" s="11">
        <f t="shared" si="16"/>
        <v>0</v>
      </c>
      <c r="L231" s="10">
        <f t="shared" si="17"/>
        <v>0</v>
      </c>
      <c r="M231" s="11">
        <f t="shared" si="18"/>
        <v>0</v>
      </c>
      <c r="N231" s="10">
        <f t="shared" si="19"/>
        <v>0</v>
      </c>
    </row>
    <row r="232" spans="1:14" x14ac:dyDescent="0.25">
      <c r="A232" s="20"/>
      <c r="B232" s="20"/>
      <c r="K232" s="11">
        <f t="shared" si="16"/>
        <v>0</v>
      </c>
      <c r="L232" s="10">
        <f t="shared" si="17"/>
        <v>0</v>
      </c>
      <c r="M232" s="11">
        <f t="shared" si="18"/>
        <v>0</v>
      </c>
      <c r="N232" s="10">
        <f t="shared" si="19"/>
        <v>0</v>
      </c>
    </row>
    <row r="233" spans="1:14" x14ac:dyDescent="0.25">
      <c r="A233" s="20"/>
      <c r="B233" s="20"/>
      <c r="K233" s="11">
        <f t="shared" si="16"/>
        <v>0</v>
      </c>
      <c r="L233" s="10">
        <f t="shared" si="17"/>
        <v>0</v>
      </c>
      <c r="M233" s="11">
        <f t="shared" si="18"/>
        <v>0</v>
      </c>
      <c r="N233" s="10">
        <f t="shared" si="19"/>
        <v>0</v>
      </c>
    </row>
    <row r="234" spans="1:14" x14ac:dyDescent="0.25">
      <c r="A234" s="20"/>
      <c r="B234" s="20"/>
      <c r="K234" s="11">
        <f t="shared" si="16"/>
        <v>0</v>
      </c>
      <c r="L234" s="10">
        <f t="shared" si="17"/>
        <v>0</v>
      </c>
      <c r="M234" s="11">
        <f t="shared" si="18"/>
        <v>0</v>
      </c>
      <c r="N234" s="10">
        <f t="shared" si="19"/>
        <v>0</v>
      </c>
    </row>
    <row r="235" spans="1:14" x14ac:dyDescent="0.25">
      <c r="A235" s="20"/>
      <c r="B235" s="20"/>
      <c r="K235" s="11">
        <f t="shared" si="16"/>
        <v>0</v>
      </c>
      <c r="L235" s="10">
        <f t="shared" si="17"/>
        <v>0</v>
      </c>
      <c r="M235" s="11">
        <f t="shared" si="18"/>
        <v>0</v>
      </c>
      <c r="N235" s="10">
        <f t="shared" si="19"/>
        <v>0</v>
      </c>
    </row>
    <row r="236" spans="1:14" x14ac:dyDescent="0.25">
      <c r="A236" s="20"/>
      <c r="B236" s="20"/>
      <c r="K236" s="11">
        <f t="shared" si="16"/>
        <v>0</v>
      </c>
      <c r="L236" s="10">
        <f t="shared" si="17"/>
        <v>0</v>
      </c>
      <c r="M236" s="11">
        <f t="shared" si="18"/>
        <v>0</v>
      </c>
      <c r="N236" s="10">
        <f t="shared" si="19"/>
        <v>0</v>
      </c>
    </row>
    <row r="237" spans="1:14" x14ac:dyDescent="0.25">
      <c r="A237" s="20"/>
      <c r="B237" s="20"/>
      <c r="K237" s="11">
        <f t="shared" si="16"/>
        <v>0</v>
      </c>
      <c r="L237" s="10">
        <f t="shared" si="17"/>
        <v>0</v>
      </c>
      <c r="M237" s="11">
        <f t="shared" si="18"/>
        <v>0</v>
      </c>
      <c r="N237" s="10">
        <f t="shared" si="19"/>
        <v>0</v>
      </c>
    </row>
    <row r="238" spans="1:14" x14ac:dyDescent="0.25">
      <c r="A238" s="20"/>
      <c r="B238" s="20"/>
      <c r="K238" s="11">
        <f t="shared" si="16"/>
        <v>0</v>
      </c>
      <c r="L238" s="10">
        <f t="shared" si="17"/>
        <v>0</v>
      </c>
      <c r="M238" s="11">
        <f t="shared" si="18"/>
        <v>0</v>
      </c>
      <c r="N238" s="10">
        <f t="shared" si="19"/>
        <v>0</v>
      </c>
    </row>
    <row r="239" spans="1:14" x14ac:dyDescent="0.25">
      <c r="A239" s="20"/>
      <c r="B239" s="20"/>
      <c r="K239" s="11">
        <f t="shared" si="16"/>
        <v>0</v>
      </c>
      <c r="L239" s="10">
        <f t="shared" si="17"/>
        <v>0</v>
      </c>
      <c r="M239" s="11">
        <f t="shared" si="18"/>
        <v>0</v>
      </c>
      <c r="N239" s="10">
        <f t="shared" si="19"/>
        <v>0</v>
      </c>
    </row>
    <row r="240" spans="1:14" x14ac:dyDescent="0.25">
      <c r="A240" s="20"/>
      <c r="B240" s="20"/>
      <c r="K240" s="11">
        <f t="shared" si="16"/>
        <v>0</v>
      </c>
      <c r="L240" s="10">
        <f t="shared" si="17"/>
        <v>0</v>
      </c>
      <c r="M240" s="11">
        <f t="shared" si="18"/>
        <v>0</v>
      </c>
      <c r="N240" s="10">
        <f t="shared" si="19"/>
        <v>0</v>
      </c>
    </row>
    <row r="241" spans="1:14" x14ac:dyDescent="0.25">
      <c r="A241" s="20"/>
      <c r="B241" s="20"/>
      <c r="K241" s="11">
        <f t="shared" si="16"/>
        <v>0</v>
      </c>
      <c r="L241" s="10">
        <f t="shared" si="17"/>
        <v>0</v>
      </c>
      <c r="M241" s="11">
        <f t="shared" si="18"/>
        <v>0</v>
      </c>
      <c r="N241" s="10">
        <f t="shared" si="19"/>
        <v>0</v>
      </c>
    </row>
    <row r="242" spans="1:14" x14ac:dyDescent="0.25">
      <c r="A242" s="20"/>
      <c r="B242" s="20"/>
      <c r="K242" s="11">
        <f t="shared" si="16"/>
        <v>0</v>
      </c>
      <c r="L242" s="10">
        <f t="shared" si="17"/>
        <v>0</v>
      </c>
      <c r="M242" s="11">
        <f t="shared" si="18"/>
        <v>0</v>
      </c>
      <c r="N242" s="10">
        <f t="shared" si="19"/>
        <v>0</v>
      </c>
    </row>
    <row r="243" spans="1:14" x14ac:dyDescent="0.25">
      <c r="A243" s="20"/>
      <c r="B243" s="20"/>
      <c r="K243" s="11">
        <f t="shared" si="16"/>
        <v>0</v>
      </c>
      <c r="L243" s="10">
        <f t="shared" si="17"/>
        <v>0</v>
      </c>
      <c r="M243" s="11">
        <f t="shared" si="18"/>
        <v>0</v>
      </c>
      <c r="N243" s="10">
        <f t="shared" si="19"/>
        <v>0</v>
      </c>
    </row>
    <row r="244" spans="1:14" x14ac:dyDescent="0.25">
      <c r="A244" s="20"/>
      <c r="B244" s="20"/>
      <c r="K244" s="11">
        <f t="shared" si="16"/>
        <v>0</v>
      </c>
      <c r="L244" s="10">
        <f t="shared" si="17"/>
        <v>0</v>
      </c>
      <c r="M244" s="11">
        <f t="shared" si="18"/>
        <v>0</v>
      </c>
      <c r="N244" s="10">
        <f t="shared" si="19"/>
        <v>0</v>
      </c>
    </row>
    <row r="245" spans="1:14" x14ac:dyDescent="0.25">
      <c r="A245" s="20"/>
      <c r="B245" s="20"/>
      <c r="K245" s="11">
        <f t="shared" si="16"/>
        <v>0</v>
      </c>
      <c r="L245" s="10">
        <f t="shared" si="17"/>
        <v>0</v>
      </c>
      <c r="M245" s="11">
        <f t="shared" si="18"/>
        <v>0</v>
      </c>
      <c r="N245" s="10">
        <f t="shared" si="19"/>
        <v>0</v>
      </c>
    </row>
    <row r="246" spans="1:14" x14ac:dyDescent="0.25">
      <c r="A246" s="20"/>
      <c r="B246" s="20"/>
      <c r="K246" s="11">
        <f t="shared" si="16"/>
        <v>0</v>
      </c>
      <c r="L246" s="10">
        <f t="shared" si="17"/>
        <v>0</v>
      </c>
      <c r="M246" s="11">
        <f t="shared" si="18"/>
        <v>0</v>
      </c>
      <c r="N246" s="10">
        <f t="shared" si="19"/>
        <v>0</v>
      </c>
    </row>
    <row r="247" spans="1:14" x14ac:dyDescent="0.25">
      <c r="A247" s="20"/>
      <c r="B247" s="20"/>
      <c r="K247" s="11">
        <f t="shared" si="16"/>
        <v>0</v>
      </c>
      <c r="L247" s="10">
        <f t="shared" si="17"/>
        <v>0</v>
      </c>
      <c r="M247" s="11">
        <f t="shared" si="18"/>
        <v>0</v>
      </c>
      <c r="N247" s="10">
        <f t="shared" si="19"/>
        <v>0</v>
      </c>
    </row>
    <row r="248" spans="1:14" x14ac:dyDescent="0.25">
      <c r="A248" s="20"/>
      <c r="B248" s="20"/>
      <c r="K248" s="11">
        <f t="shared" si="16"/>
        <v>0</v>
      </c>
      <c r="L248" s="10">
        <f t="shared" si="17"/>
        <v>0</v>
      </c>
      <c r="M248" s="11">
        <f t="shared" si="18"/>
        <v>0</v>
      </c>
      <c r="N248" s="10">
        <f t="shared" si="19"/>
        <v>0</v>
      </c>
    </row>
    <row r="249" spans="1:14" x14ac:dyDescent="0.25">
      <c r="A249" s="20"/>
      <c r="B249" s="20"/>
      <c r="K249" s="11">
        <f t="shared" si="16"/>
        <v>0</v>
      </c>
      <c r="L249" s="10">
        <f t="shared" si="17"/>
        <v>0</v>
      </c>
      <c r="M249" s="11">
        <f t="shared" si="18"/>
        <v>0</v>
      </c>
      <c r="N249" s="10">
        <f t="shared" si="19"/>
        <v>0</v>
      </c>
    </row>
    <row r="250" spans="1:14" x14ac:dyDescent="0.25">
      <c r="A250" s="20"/>
      <c r="B250" s="20"/>
      <c r="K250" s="11">
        <f t="shared" si="16"/>
        <v>0</v>
      </c>
      <c r="L250" s="10">
        <f t="shared" si="17"/>
        <v>0</v>
      </c>
      <c r="M250" s="11">
        <f t="shared" si="18"/>
        <v>0</v>
      </c>
      <c r="N250" s="10">
        <f t="shared" si="19"/>
        <v>0</v>
      </c>
    </row>
    <row r="251" spans="1:14" x14ac:dyDescent="0.25">
      <c r="A251" s="20"/>
      <c r="B251" s="20"/>
      <c r="K251" s="11">
        <f t="shared" si="16"/>
        <v>0</v>
      </c>
      <c r="L251" s="10">
        <f t="shared" si="17"/>
        <v>0</v>
      </c>
      <c r="M251" s="11">
        <f t="shared" si="18"/>
        <v>0</v>
      </c>
      <c r="N251" s="10">
        <f t="shared" si="19"/>
        <v>0</v>
      </c>
    </row>
    <row r="252" spans="1:14" x14ac:dyDescent="0.25">
      <c r="A252" s="20"/>
      <c r="B252" s="20"/>
      <c r="K252" s="11">
        <f t="shared" si="16"/>
        <v>0</v>
      </c>
      <c r="L252" s="10">
        <f t="shared" si="17"/>
        <v>0</v>
      </c>
      <c r="M252" s="11">
        <f t="shared" si="18"/>
        <v>0</v>
      </c>
      <c r="N252" s="10">
        <f t="shared" si="19"/>
        <v>0</v>
      </c>
    </row>
    <row r="253" spans="1:14" x14ac:dyDescent="0.25">
      <c r="A253" s="20"/>
      <c r="B253" s="20"/>
      <c r="K253" s="11">
        <f t="shared" si="16"/>
        <v>0</v>
      </c>
      <c r="L253" s="10">
        <f t="shared" si="17"/>
        <v>0</v>
      </c>
      <c r="M253" s="11">
        <f t="shared" si="18"/>
        <v>0</v>
      </c>
      <c r="N253" s="10">
        <f t="shared" si="19"/>
        <v>0</v>
      </c>
    </row>
    <row r="254" spans="1:14" x14ac:dyDescent="0.25">
      <c r="A254" s="20"/>
      <c r="B254" s="20"/>
      <c r="K254" s="11">
        <f t="shared" si="16"/>
        <v>0</v>
      </c>
      <c r="L254" s="10">
        <f t="shared" si="17"/>
        <v>0</v>
      </c>
      <c r="M254" s="11">
        <f t="shared" si="18"/>
        <v>0</v>
      </c>
      <c r="N254" s="10">
        <f t="shared" si="19"/>
        <v>0</v>
      </c>
    </row>
    <row r="255" spans="1:14" x14ac:dyDescent="0.25">
      <c r="A255" s="20"/>
      <c r="B255" s="20"/>
      <c r="K255" s="11">
        <f t="shared" si="16"/>
        <v>0</v>
      </c>
      <c r="L255" s="10">
        <f t="shared" si="17"/>
        <v>0</v>
      </c>
      <c r="M255" s="11">
        <f t="shared" si="18"/>
        <v>0</v>
      </c>
      <c r="N255" s="10">
        <f t="shared" si="19"/>
        <v>0</v>
      </c>
    </row>
    <row r="256" spans="1:14" x14ac:dyDescent="0.25">
      <c r="A256" s="20"/>
      <c r="B256" s="20"/>
      <c r="K256" s="11">
        <f t="shared" si="16"/>
        <v>0</v>
      </c>
      <c r="L256" s="10">
        <f t="shared" si="17"/>
        <v>0</v>
      </c>
      <c r="M256" s="11">
        <f t="shared" si="18"/>
        <v>0</v>
      </c>
      <c r="N256" s="10">
        <f t="shared" si="19"/>
        <v>0</v>
      </c>
    </row>
    <row r="257" spans="1:14" x14ac:dyDescent="0.25">
      <c r="A257" s="20"/>
      <c r="B257" s="20"/>
      <c r="K257" s="11">
        <f t="shared" si="16"/>
        <v>0</v>
      </c>
      <c r="L257" s="10">
        <f t="shared" si="17"/>
        <v>0</v>
      </c>
      <c r="M257" s="11">
        <f t="shared" si="18"/>
        <v>0</v>
      </c>
      <c r="N257" s="10">
        <f t="shared" si="19"/>
        <v>0</v>
      </c>
    </row>
    <row r="258" spans="1:14" x14ac:dyDescent="0.25">
      <c r="A258" s="20"/>
      <c r="B258" s="20"/>
      <c r="K258" s="11">
        <f t="shared" si="16"/>
        <v>0</v>
      </c>
      <c r="L258" s="10">
        <f t="shared" si="17"/>
        <v>0</v>
      </c>
      <c r="M258" s="11">
        <f t="shared" si="18"/>
        <v>0</v>
      </c>
      <c r="N258" s="10">
        <f t="shared" si="19"/>
        <v>0</v>
      </c>
    </row>
    <row r="259" spans="1:14" x14ac:dyDescent="0.25">
      <c r="A259" s="20"/>
      <c r="B259" s="20"/>
      <c r="K259" s="11">
        <f t="shared" si="16"/>
        <v>0</v>
      </c>
      <c r="L259" s="10">
        <f t="shared" si="17"/>
        <v>0</v>
      </c>
      <c r="M259" s="11">
        <f t="shared" si="18"/>
        <v>0</v>
      </c>
      <c r="N259" s="10">
        <f t="shared" si="19"/>
        <v>0</v>
      </c>
    </row>
    <row r="260" spans="1:14" x14ac:dyDescent="0.25">
      <c r="A260" s="20"/>
      <c r="B260" s="20"/>
      <c r="K260" s="11">
        <f t="shared" si="16"/>
        <v>0</v>
      </c>
      <c r="L260" s="10">
        <f t="shared" si="17"/>
        <v>0</v>
      </c>
      <c r="M260" s="11">
        <f t="shared" si="18"/>
        <v>0</v>
      </c>
      <c r="N260" s="10">
        <f t="shared" si="19"/>
        <v>0</v>
      </c>
    </row>
    <row r="261" spans="1:14" x14ac:dyDescent="0.25">
      <c r="A261" s="20"/>
      <c r="B261" s="20"/>
      <c r="K261" s="11">
        <f t="shared" si="16"/>
        <v>0</v>
      </c>
      <c r="L261" s="10">
        <f t="shared" si="17"/>
        <v>0</v>
      </c>
      <c r="M261" s="11">
        <f t="shared" si="18"/>
        <v>0</v>
      </c>
      <c r="N261" s="10">
        <f t="shared" si="19"/>
        <v>0</v>
      </c>
    </row>
    <row r="262" spans="1:14" x14ac:dyDescent="0.25">
      <c r="A262" s="20"/>
      <c r="B262" s="20"/>
      <c r="K262" s="11">
        <f t="shared" si="16"/>
        <v>0</v>
      </c>
      <c r="L262" s="10">
        <f t="shared" si="17"/>
        <v>0</v>
      </c>
      <c r="M262" s="11">
        <f t="shared" si="18"/>
        <v>0</v>
      </c>
      <c r="N262" s="10">
        <f t="shared" si="19"/>
        <v>0</v>
      </c>
    </row>
    <row r="263" spans="1:14" x14ac:dyDescent="0.25">
      <c r="A263" s="20"/>
      <c r="B263" s="20"/>
      <c r="K263" s="11">
        <f t="shared" si="16"/>
        <v>0</v>
      </c>
      <c r="L263" s="10">
        <f t="shared" si="17"/>
        <v>0</v>
      </c>
      <c r="M263" s="11">
        <f t="shared" si="18"/>
        <v>0</v>
      </c>
      <c r="N263" s="10">
        <f t="shared" si="19"/>
        <v>0</v>
      </c>
    </row>
    <row r="264" spans="1:14" x14ac:dyDescent="0.25">
      <c r="A264" s="20"/>
      <c r="B264" s="20"/>
      <c r="K264" s="11">
        <f t="shared" si="16"/>
        <v>0</v>
      </c>
      <c r="L264" s="10">
        <f t="shared" si="17"/>
        <v>0</v>
      </c>
      <c r="M264" s="11">
        <f t="shared" si="18"/>
        <v>0</v>
      </c>
      <c r="N264" s="10">
        <f t="shared" si="19"/>
        <v>0</v>
      </c>
    </row>
    <row r="265" spans="1:14" x14ac:dyDescent="0.25">
      <c r="A265" s="20"/>
      <c r="B265" s="20"/>
      <c r="K265" s="11">
        <f t="shared" si="16"/>
        <v>0</v>
      </c>
      <c r="L265" s="10">
        <f t="shared" si="17"/>
        <v>0</v>
      </c>
      <c r="M265" s="11">
        <f t="shared" si="18"/>
        <v>0</v>
      </c>
      <c r="N265" s="10">
        <f t="shared" si="19"/>
        <v>0</v>
      </c>
    </row>
    <row r="266" spans="1:14" x14ac:dyDescent="0.25">
      <c r="A266" s="20"/>
      <c r="B266" s="20"/>
      <c r="K266" s="11">
        <f t="shared" ref="K266:K329" si="20">IF(D266&gt;0,IF(G266&gt;0,((D266*E266)+F266)*G266,(D266*E266)+F266),0)</f>
        <v>0</v>
      </c>
      <c r="L266" s="10">
        <f t="shared" ref="L266:L329" si="21">IF(H266&gt;0,IF(J266&gt;0,((D266*H266)-I266)*J266,(D266*H266)-I266),0)</f>
        <v>0</v>
      </c>
      <c r="M266" s="11">
        <f t="shared" ref="M266:M329" si="22">IF(H266&gt;0,L266-K266,0)</f>
        <v>0</v>
      </c>
      <c r="N266" s="10">
        <f t="shared" ref="N266:N329" si="23">IF(H266&gt;0,H266-E266,0)</f>
        <v>0</v>
      </c>
    </row>
    <row r="267" spans="1:14" x14ac:dyDescent="0.25">
      <c r="A267" s="20"/>
      <c r="B267" s="20"/>
      <c r="K267" s="11">
        <f t="shared" si="20"/>
        <v>0</v>
      </c>
      <c r="L267" s="10">
        <f t="shared" si="21"/>
        <v>0</v>
      </c>
      <c r="M267" s="11">
        <f t="shared" si="22"/>
        <v>0</v>
      </c>
      <c r="N267" s="10">
        <f t="shared" si="23"/>
        <v>0</v>
      </c>
    </row>
    <row r="268" spans="1:14" x14ac:dyDescent="0.25">
      <c r="A268" s="20"/>
      <c r="B268" s="20"/>
      <c r="K268" s="11">
        <f t="shared" si="20"/>
        <v>0</v>
      </c>
      <c r="L268" s="10">
        <f t="shared" si="21"/>
        <v>0</v>
      </c>
      <c r="M268" s="11">
        <f t="shared" si="22"/>
        <v>0</v>
      </c>
      <c r="N268" s="10">
        <f t="shared" si="23"/>
        <v>0</v>
      </c>
    </row>
    <row r="269" spans="1:14" x14ac:dyDescent="0.25">
      <c r="A269" s="20"/>
      <c r="B269" s="20"/>
      <c r="K269" s="11">
        <f t="shared" si="20"/>
        <v>0</v>
      </c>
      <c r="L269" s="10">
        <f t="shared" si="21"/>
        <v>0</v>
      </c>
      <c r="M269" s="11">
        <f t="shared" si="22"/>
        <v>0</v>
      </c>
      <c r="N269" s="10">
        <f t="shared" si="23"/>
        <v>0</v>
      </c>
    </row>
    <row r="270" spans="1:14" x14ac:dyDescent="0.25">
      <c r="A270" s="20"/>
      <c r="B270" s="20"/>
      <c r="K270" s="11">
        <f t="shared" si="20"/>
        <v>0</v>
      </c>
      <c r="L270" s="10">
        <f t="shared" si="21"/>
        <v>0</v>
      </c>
      <c r="M270" s="11">
        <f t="shared" si="22"/>
        <v>0</v>
      </c>
      <c r="N270" s="10">
        <f t="shared" si="23"/>
        <v>0</v>
      </c>
    </row>
    <row r="271" spans="1:14" x14ac:dyDescent="0.25">
      <c r="A271" s="20"/>
      <c r="B271" s="20"/>
      <c r="K271" s="11">
        <f t="shared" si="20"/>
        <v>0</v>
      </c>
      <c r="L271" s="10">
        <f t="shared" si="21"/>
        <v>0</v>
      </c>
      <c r="M271" s="11">
        <f t="shared" si="22"/>
        <v>0</v>
      </c>
      <c r="N271" s="10">
        <f t="shared" si="23"/>
        <v>0</v>
      </c>
    </row>
    <row r="272" spans="1:14" x14ac:dyDescent="0.25">
      <c r="K272" s="11">
        <f t="shared" si="20"/>
        <v>0</v>
      </c>
      <c r="L272" s="10">
        <f t="shared" si="21"/>
        <v>0</v>
      </c>
      <c r="M272" s="11">
        <f t="shared" si="22"/>
        <v>0</v>
      </c>
      <c r="N272" s="10">
        <f t="shared" si="23"/>
        <v>0</v>
      </c>
    </row>
    <row r="273" spans="11:14" x14ac:dyDescent="0.25">
      <c r="K273" s="11">
        <f t="shared" si="20"/>
        <v>0</v>
      </c>
      <c r="L273" s="10">
        <f t="shared" si="21"/>
        <v>0</v>
      </c>
      <c r="M273" s="11">
        <f t="shared" si="22"/>
        <v>0</v>
      </c>
      <c r="N273" s="10">
        <f t="shared" si="23"/>
        <v>0</v>
      </c>
    </row>
    <row r="274" spans="11:14" x14ac:dyDescent="0.25">
      <c r="K274" s="11">
        <f t="shared" si="20"/>
        <v>0</v>
      </c>
      <c r="L274" s="10">
        <f t="shared" si="21"/>
        <v>0</v>
      </c>
      <c r="M274" s="11">
        <f t="shared" si="22"/>
        <v>0</v>
      </c>
      <c r="N274" s="10">
        <f t="shared" si="23"/>
        <v>0</v>
      </c>
    </row>
    <row r="275" spans="11:14" x14ac:dyDescent="0.25">
      <c r="K275" s="11">
        <f t="shared" si="20"/>
        <v>0</v>
      </c>
      <c r="L275" s="10">
        <f t="shared" si="21"/>
        <v>0</v>
      </c>
      <c r="M275" s="11">
        <f t="shared" si="22"/>
        <v>0</v>
      </c>
      <c r="N275" s="10">
        <f t="shared" si="23"/>
        <v>0</v>
      </c>
    </row>
    <row r="276" spans="11:14" x14ac:dyDescent="0.25">
      <c r="K276" s="11">
        <f t="shared" si="20"/>
        <v>0</v>
      </c>
      <c r="L276" s="10">
        <f t="shared" si="21"/>
        <v>0</v>
      </c>
      <c r="M276" s="11">
        <f t="shared" si="22"/>
        <v>0</v>
      </c>
      <c r="N276" s="10">
        <f t="shared" si="23"/>
        <v>0</v>
      </c>
    </row>
    <row r="277" spans="11:14" x14ac:dyDescent="0.25">
      <c r="K277" s="11">
        <f t="shared" si="20"/>
        <v>0</v>
      </c>
      <c r="L277" s="10">
        <f t="shared" si="21"/>
        <v>0</v>
      </c>
      <c r="M277" s="11">
        <f t="shared" si="22"/>
        <v>0</v>
      </c>
      <c r="N277" s="10">
        <f t="shared" si="23"/>
        <v>0</v>
      </c>
    </row>
    <row r="278" spans="11:14" x14ac:dyDescent="0.25">
      <c r="K278" s="11">
        <f t="shared" si="20"/>
        <v>0</v>
      </c>
      <c r="L278" s="10">
        <f t="shared" si="21"/>
        <v>0</v>
      </c>
      <c r="M278" s="11">
        <f t="shared" si="22"/>
        <v>0</v>
      </c>
      <c r="N278" s="10">
        <f t="shared" si="23"/>
        <v>0</v>
      </c>
    </row>
    <row r="279" spans="11:14" x14ac:dyDescent="0.25">
      <c r="K279" s="11">
        <f t="shared" si="20"/>
        <v>0</v>
      </c>
      <c r="L279" s="10">
        <f t="shared" si="21"/>
        <v>0</v>
      </c>
      <c r="M279" s="11">
        <f t="shared" si="22"/>
        <v>0</v>
      </c>
      <c r="N279" s="10">
        <f t="shared" si="23"/>
        <v>0</v>
      </c>
    </row>
    <row r="280" spans="11:14" x14ac:dyDescent="0.25">
      <c r="K280" s="11">
        <f t="shared" si="20"/>
        <v>0</v>
      </c>
      <c r="L280" s="10">
        <f t="shared" si="21"/>
        <v>0</v>
      </c>
      <c r="M280" s="11">
        <f t="shared" si="22"/>
        <v>0</v>
      </c>
      <c r="N280" s="10">
        <f t="shared" si="23"/>
        <v>0</v>
      </c>
    </row>
    <row r="281" spans="11:14" x14ac:dyDescent="0.25">
      <c r="K281" s="11">
        <f t="shared" si="20"/>
        <v>0</v>
      </c>
      <c r="L281" s="10">
        <f t="shared" si="21"/>
        <v>0</v>
      </c>
      <c r="M281" s="11">
        <f t="shared" si="22"/>
        <v>0</v>
      </c>
      <c r="N281" s="10">
        <f t="shared" si="23"/>
        <v>0</v>
      </c>
    </row>
    <row r="282" spans="11:14" x14ac:dyDescent="0.25">
      <c r="K282" s="11">
        <f t="shared" si="20"/>
        <v>0</v>
      </c>
      <c r="L282" s="10">
        <f t="shared" si="21"/>
        <v>0</v>
      </c>
      <c r="M282" s="11">
        <f t="shared" si="22"/>
        <v>0</v>
      </c>
      <c r="N282" s="10">
        <f t="shared" si="23"/>
        <v>0</v>
      </c>
    </row>
    <row r="283" spans="11:14" x14ac:dyDescent="0.25">
      <c r="K283" s="11">
        <f t="shared" si="20"/>
        <v>0</v>
      </c>
      <c r="L283" s="10">
        <f t="shared" si="21"/>
        <v>0</v>
      </c>
      <c r="M283" s="11">
        <f t="shared" si="22"/>
        <v>0</v>
      </c>
      <c r="N283" s="10">
        <f t="shared" si="23"/>
        <v>0</v>
      </c>
    </row>
    <row r="284" spans="11:14" x14ac:dyDescent="0.25">
      <c r="K284" s="11">
        <f t="shared" si="20"/>
        <v>0</v>
      </c>
      <c r="L284" s="10">
        <f t="shared" si="21"/>
        <v>0</v>
      </c>
      <c r="M284" s="11">
        <f t="shared" si="22"/>
        <v>0</v>
      </c>
      <c r="N284" s="10">
        <f t="shared" si="23"/>
        <v>0</v>
      </c>
    </row>
    <row r="285" spans="11:14" x14ac:dyDescent="0.25">
      <c r="K285" s="11">
        <f t="shared" si="20"/>
        <v>0</v>
      </c>
      <c r="L285" s="10">
        <f t="shared" si="21"/>
        <v>0</v>
      </c>
      <c r="M285" s="11">
        <f t="shared" si="22"/>
        <v>0</v>
      </c>
      <c r="N285" s="10">
        <f t="shared" si="23"/>
        <v>0</v>
      </c>
    </row>
    <row r="286" spans="11:14" x14ac:dyDescent="0.25">
      <c r="K286" s="11">
        <f t="shared" si="20"/>
        <v>0</v>
      </c>
      <c r="L286" s="10">
        <f t="shared" si="21"/>
        <v>0</v>
      </c>
      <c r="M286" s="11">
        <f t="shared" si="22"/>
        <v>0</v>
      </c>
      <c r="N286" s="10">
        <f t="shared" si="23"/>
        <v>0</v>
      </c>
    </row>
    <row r="287" spans="11:14" x14ac:dyDescent="0.25">
      <c r="K287" s="11">
        <f t="shared" si="20"/>
        <v>0</v>
      </c>
      <c r="L287" s="10">
        <f t="shared" si="21"/>
        <v>0</v>
      </c>
      <c r="M287" s="11">
        <f t="shared" si="22"/>
        <v>0</v>
      </c>
      <c r="N287" s="10">
        <f t="shared" si="23"/>
        <v>0</v>
      </c>
    </row>
    <row r="288" spans="11:14" x14ac:dyDescent="0.25">
      <c r="K288" s="11">
        <f t="shared" si="20"/>
        <v>0</v>
      </c>
      <c r="L288" s="10">
        <f t="shared" si="21"/>
        <v>0</v>
      </c>
      <c r="M288" s="11">
        <f t="shared" si="22"/>
        <v>0</v>
      </c>
      <c r="N288" s="10">
        <f t="shared" si="23"/>
        <v>0</v>
      </c>
    </row>
    <row r="289" spans="11:14" x14ac:dyDescent="0.25">
      <c r="K289" s="11">
        <f t="shared" si="20"/>
        <v>0</v>
      </c>
      <c r="L289" s="10">
        <f t="shared" si="21"/>
        <v>0</v>
      </c>
      <c r="M289" s="11">
        <f t="shared" si="22"/>
        <v>0</v>
      </c>
      <c r="N289" s="10">
        <f t="shared" si="23"/>
        <v>0</v>
      </c>
    </row>
    <row r="290" spans="11:14" x14ac:dyDescent="0.25">
      <c r="K290" s="11">
        <f t="shared" si="20"/>
        <v>0</v>
      </c>
      <c r="L290" s="10">
        <f t="shared" si="21"/>
        <v>0</v>
      </c>
      <c r="M290" s="11">
        <f t="shared" si="22"/>
        <v>0</v>
      </c>
      <c r="N290" s="10">
        <f t="shared" si="23"/>
        <v>0</v>
      </c>
    </row>
    <row r="291" spans="11:14" x14ac:dyDescent="0.25">
      <c r="K291" s="11">
        <f t="shared" si="20"/>
        <v>0</v>
      </c>
      <c r="L291" s="10">
        <f t="shared" si="21"/>
        <v>0</v>
      </c>
      <c r="M291" s="11">
        <f t="shared" si="22"/>
        <v>0</v>
      </c>
      <c r="N291" s="10">
        <f t="shared" si="23"/>
        <v>0</v>
      </c>
    </row>
    <row r="292" spans="11:14" x14ac:dyDescent="0.25">
      <c r="K292" s="11">
        <f t="shared" si="20"/>
        <v>0</v>
      </c>
      <c r="L292" s="10">
        <f t="shared" si="21"/>
        <v>0</v>
      </c>
      <c r="M292" s="11">
        <f t="shared" si="22"/>
        <v>0</v>
      </c>
      <c r="N292" s="10">
        <f t="shared" si="23"/>
        <v>0</v>
      </c>
    </row>
    <row r="293" spans="11:14" x14ac:dyDescent="0.25">
      <c r="K293" s="11">
        <f t="shared" si="20"/>
        <v>0</v>
      </c>
      <c r="L293" s="10">
        <f t="shared" si="21"/>
        <v>0</v>
      </c>
      <c r="M293" s="11">
        <f t="shared" si="22"/>
        <v>0</v>
      </c>
      <c r="N293" s="10">
        <f t="shared" si="23"/>
        <v>0</v>
      </c>
    </row>
    <row r="294" spans="11:14" x14ac:dyDescent="0.25">
      <c r="K294" s="11">
        <f t="shared" si="20"/>
        <v>0</v>
      </c>
      <c r="L294" s="10">
        <f t="shared" si="21"/>
        <v>0</v>
      </c>
      <c r="M294" s="11">
        <f t="shared" si="22"/>
        <v>0</v>
      </c>
      <c r="N294" s="10">
        <f t="shared" si="23"/>
        <v>0</v>
      </c>
    </row>
    <row r="295" spans="11:14" x14ac:dyDescent="0.25">
      <c r="K295" s="11">
        <f t="shared" si="20"/>
        <v>0</v>
      </c>
      <c r="L295" s="10">
        <f t="shared" si="21"/>
        <v>0</v>
      </c>
      <c r="M295" s="11">
        <f t="shared" si="22"/>
        <v>0</v>
      </c>
      <c r="N295" s="10">
        <f t="shared" si="23"/>
        <v>0</v>
      </c>
    </row>
    <row r="296" spans="11:14" x14ac:dyDescent="0.25">
      <c r="K296" s="11">
        <f t="shared" si="20"/>
        <v>0</v>
      </c>
      <c r="L296" s="10">
        <f t="shared" si="21"/>
        <v>0</v>
      </c>
      <c r="M296" s="11">
        <f t="shared" si="22"/>
        <v>0</v>
      </c>
      <c r="N296" s="10">
        <f t="shared" si="23"/>
        <v>0</v>
      </c>
    </row>
    <row r="297" spans="11:14" x14ac:dyDescent="0.25">
      <c r="K297" s="11">
        <f t="shared" si="20"/>
        <v>0</v>
      </c>
      <c r="L297" s="10">
        <f t="shared" si="21"/>
        <v>0</v>
      </c>
      <c r="M297" s="11">
        <f t="shared" si="22"/>
        <v>0</v>
      </c>
      <c r="N297" s="10">
        <f t="shared" si="23"/>
        <v>0</v>
      </c>
    </row>
    <row r="298" spans="11:14" x14ac:dyDescent="0.25">
      <c r="K298" s="11">
        <f t="shared" si="20"/>
        <v>0</v>
      </c>
      <c r="L298" s="10">
        <f t="shared" si="21"/>
        <v>0</v>
      </c>
      <c r="M298" s="11">
        <f t="shared" si="22"/>
        <v>0</v>
      </c>
      <c r="N298" s="10">
        <f t="shared" si="23"/>
        <v>0</v>
      </c>
    </row>
    <row r="299" spans="11:14" x14ac:dyDescent="0.25">
      <c r="K299" s="11">
        <f t="shared" si="20"/>
        <v>0</v>
      </c>
      <c r="L299" s="10">
        <f t="shared" si="21"/>
        <v>0</v>
      </c>
      <c r="M299" s="11">
        <f t="shared" si="22"/>
        <v>0</v>
      </c>
      <c r="N299" s="10">
        <f t="shared" si="23"/>
        <v>0</v>
      </c>
    </row>
    <row r="300" spans="11:14" x14ac:dyDescent="0.25">
      <c r="K300" s="11">
        <f t="shared" si="20"/>
        <v>0</v>
      </c>
      <c r="L300" s="10">
        <f t="shared" si="21"/>
        <v>0</v>
      </c>
      <c r="M300" s="11">
        <f t="shared" si="22"/>
        <v>0</v>
      </c>
      <c r="N300" s="10">
        <f t="shared" si="23"/>
        <v>0</v>
      </c>
    </row>
    <row r="301" spans="11:14" x14ac:dyDescent="0.25">
      <c r="K301" s="11">
        <f t="shared" si="20"/>
        <v>0</v>
      </c>
      <c r="L301" s="10">
        <f t="shared" si="21"/>
        <v>0</v>
      </c>
      <c r="M301" s="11">
        <f t="shared" si="22"/>
        <v>0</v>
      </c>
      <c r="N301" s="10">
        <f t="shared" si="23"/>
        <v>0</v>
      </c>
    </row>
    <row r="302" spans="11:14" x14ac:dyDescent="0.25">
      <c r="K302" s="11">
        <f t="shared" si="20"/>
        <v>0</v>
      </c>
      <c r="L302" s="10">
        <f t="shared" si="21"/>
        <v>0</v>
      </c>
      <c r="M302" s="11">
        <f t="shared" si="22"/>
        <v>0</v>
      </c>
      <c r="N302" s="10">
        <f t="shared" si="23"/>
        <v>0</v>
      </c>
    </row>
    <row r="303" spans="11:14" x14ac:dyDescent="0.25">
      <c r="K303" s="11">
        <f t="shared" si="20"/>
        <v>0</v>
      </c>
      <c r="L303" s="10">
        <f t="shared" si="21"/>
        <v>0</v>
      </c>
      <c r="M303" s="11">
        <f t="shared" si="22"/>
        <v>0</v>
      </c>
      <c r="N303" s="10">
        <f t="shared" si="23"/>
        <v>0</v>
      </c>
    </row>
    <row r="304" spans="11:14" x14ac:dyDescent="0.25">
      <c r="K304" s="11">
        <f t="shared" si="20"/>
        <v>0</v>
      </c>
      <c r="L304" s="10">
        <f t="shared" si="21"/>
        <v>0</v>
      </c>
      <c r="M304" s="11">
        <f t="shared" si="22"/>
        <v>0</v>
      </c>
      <c r="N304" s="10">
        <f t="shared" si="23"/>
        <v>0</v>
      </c>
    </row>
    <row r="305" spans="11:14" x14ac:dyDescent="0.25">
      <c r="K305" s="11">
        <f t="shared" si="20"/>
        <v>0</v>
      </c>
      <c r="L305" s="10">
        <f t="shared" si="21"/>
        <v>0</v>
      </c>
      <c r="M305" s="11">
        <f t="shared" si="22"/>
        <v>0</v>
      </c>
      <c r="N305" s="10">
        <f t="shared" si="23"/>
        <v>0</v>
      </c>
    </row>
    <row r="306" spans="11:14" x14ac:dyDescent="0.25">
      <c r="K306" s="11">
        <f t="shared" si="20"/>
        <v>0</v>
      </c>
      <c r="L306" s="10">
        <f t="shared" si="21"/>
        <v>0</v>
      </c>
      <c r="M306" s="11">
        <f t="shared" si="22"/>
        <v>0</v>
      </c>
      <c r="N306" s="10">
        <f t="shared" si="23"/>
        <v>0</v>
      </c>
    </row>
    <row r="307" spans="11:14" x14ac:dyDescent="0.25">
      <c r="K307" s="11">
        <f t="shared" si="20"/>
        <v>0</v>
      </c>
      <c r="L307" s="10">
        <f t="shared" si="21"/>
        <v>0</v>
      </c>
      <c r="M307" s="11">
        <f t="shared" si="22"/>
        <v>0</v>
      </c>
      <c r="N307" s="10">
        <f t="shared" si="23"/>
        <v>0</v>
      </c>
    </row>
    <row r="308" spans="11:14" x14ac:dyDescent="0.25">
      <c r="K308" s="11">
        <f t="shared" si="20"/>
        <v>0</v>
      </c>
      <c r="L308" s="10">
        <f t="shared" si="21"/>
        <v>0</v>
      </c>
      <c r="M308" s="11">
        <f t="shared" si="22"/>
        <v>0</v>
      </c>
      <c r="N308" s="10">
        <f t="shared" si="23"/>
        <v>0</v>
      </c>
    </row>
    <row r="309" spans="11:14" x14ac:dyDescent="0.25">
      <c r="K309" s="11">
        <f t="shared" si="20"/>
        <v>0</v>
      </c>
      <c r="L309" s="10">
        <f t="shared" si="21"/>
        <v>0</v>
      </c>
      <c r="M309" s="11">
        <f t="shared" si="22"/>
        <v>0</v>
      </c>
      <c r="N309" s="10">
        <f t="shared" si="23"/>
        <v>0</v>
      </c>
    </row>
    <row r="310" spans="11:14" x14ac:dyDescent="0.25">
      <c r="K310" s="11">
        <f t="shared" si="20"/>
        <v>0</v>
      </c>
      <c r="L310" s="10">
        <f t="shared" si="21"/>
        <v>0</v>
      </c>
      <c r="M310" s="11">
        <f t="shared" si="22"/>
        <v>0</v>
      </c>
      <c r="N310" s="10">
        <f t="shared" si="23"/>
        <v>0</v>
      </c>
    </row>
    <row r="311" spans="11:14" x14ac:dyDescent="0.25">
      <c r="K311" s="11">
        <f t="shared" si="20"/>
        <v>0</v>
      </c>
      <c r="L311" s="10">
        <f t="shared" si="21"/>
        <v>0</v>
      </c>
      <c r="M311" s="11">
        <f t="shared" si="22"/>
        <v>0</v>
      </c>
      <c r="N311" s="10">
        <f t="shared" si="23"/>
        <v>0</v>
      </c>
    </row>
    <row r="312" spans="11:14" x14ac:dyDescent="0.25">
      <c r="K312" s="11">
        <f t="shared" si="20"/>
        <v>0</v>
      </c>
      <c r="L312" s="10">
        <f t="shared" si="21"/>
        <v>0</v>
      </c>
      <c r="M312" s="11">
        <f t="shared" si="22"/>
        <v>0</v>
      </c>
      <c r="N312" s="10">
        <f t="shared" si="23"/>
        <v>0</v>
      </c>
    </row>
    <row r="313" spans="11:14" x14ac:dyDescent="0.25">
      <c r="K313" s="11">
        <f t="shared" si="20"/>
        <v>0</v>
      </c>
      <c r="L313" s="10">
        <f t="shared" si="21"/>
        <v>0</v>
      </c>
      <c r="M313" s="11">
        <f t="shared" si="22"/>
        <v>0</v>
      </c>
      <c r="N313" s="10">
        <f t="shared" si="23"/>
        <v>0</v>
      </c>
    </row>
    <row r="314" spans="11:14" x14ac:dyDescent="0.25">
      <c r="K314" s="11">
        <f t="shared" si="20"/>
        <v>0</v>
      </c>
      <c r="L314" s="10">
        <f t="shared" si="21"/>
        <v>0</v>
      </c>
      <c r="M314" s="11">
        <f t="shared" si="22"/>
        <v>0</v>
      </c>
      <c r="N314" s="10">
        <f t="shared" si="23"/>
        <v>0</v>
      </c>
    </row>
    <row r="315" spans="11:14" x14ac:dyDescent="0.25">
      <c r="K315" s="11">
        <f t="shared" si="20"/>
        <v>0</v>
      </c>
      <c r="L315" s="10">
        <f t="shared" si="21"/>
        <v>0</v>
      </c>
      <c r="M315" s="11">
        <f t="shared" si="22"/>
        <v>0</v>
      </c>
      <c r="N315" s="10">
        <f t="shared" si="23"/>
        <v>0</v>
      </c>
    </row>
    <row r="316" spans="11:14" x14ac:dyDescent="0.25">
      <c r="K316" s="11">
        <f t="shared" si="20"/>
        <v>0</v>
      </c>
      <c r="L316" s="10">
        <f t="shared" si="21"/>
        <v>0</v>
      </c>
      <c r="M316" s="11">
        <f t="shared" si="22"/>
        <v>0</v>
      </c>
      <c r="N316" s="10">
        <f t="shared" si="23"/>
        <v>0</v>
      </c>
    </row>
    <row r="317" spans="11:14" x14ac:dyDescent="0.25">
      <c r="K317" s="11">
        <f t="shared" si="20"/>
        <v>0</v>
      </c>
      <c r="L317" s="10">
        <f t="shared" si="21"/>
        <v>0</v>
      </c>
      <c r="M317" s="11">
        <f t="shared" si="22"/>
        <v>0</v>
      </c>
      <c r="N317" s="10">
        <f t="shared" si="23"/>
        <v>0</v>
      </c>
    </row>
    <row r="318" spans="11:14" x14ac:dyDescent="0.25">
      <c r="K318" s="11">
        <f t="shared" si="20"/>
        <v>0</v>
      </c>
      <c r="L318" s="10">
        <f t="shared" si="21"/>
        <v>0</v>
      </c>
      <c r="M318" s="11">
        <f t="shared" si="22"/>
        <v>0</v>
      </c>
      <c r="N318" s="10">
        <f t="shared" si="23"/>
        <v>0</v>
      </c>
    </row>
    <row r="319" spans="11:14" x14ac:dyDescent="0.25">
      <c r="K319" s="11">
        <f t="shared" si="20"/>
        <v>0</v>
      </c>
      <c r="L319" s="10">
        <f t="shared" si="21"/>
        <v>0</v>
      </c>
      <c r="M319" s="11">
        <f t="shared" si="22"/>
        <v>0</v>
      </c>
      <c r="N319" s="10">
        <f t="shared" si="23"/>
        <v>0</v>
      </c>
    </row>
    <row r="320" spans="11:14" x14ac:dyDescent="0.25">
      <c r="K320" s="11">
        <f t="shared" si="20"/>
        <v>0</v>
      </c>
      <c r="L320" s="10">
        <f t="shared" si="21"/>
        <v>0</v>
      </c>
      <c r="M320" s="11">
        <f t="shared" si="22"/>
        <v>0</v>
      </c>
      <c r="N320" s="10">
        <f t="shared" si="23"/>
        <v>0</v>
      </c>
    </row>
    <row r="321" spans="11:14" x14ac:dyDescent="0.25">
      <c r="K321" s="11">
        <f t="shared" si="20"/>
        <v>0</v>
      </c>
      <c r="L321" s="10">
        <f t="shared" si="21"/>
        <v>0</v>
      </c>
      <c r="M321" s="11">
        <f t="shared" si="22"/>
        <v>0</v>
      </c>
      <c r="N321" s="10">
        <f t="shared" si="23"/>
        <v>0</v>
      </c>
    </row>
    <row r="322" spans="11:14" x14ac:dyDescent="0.25">
      <c r="K322" s="11">
        <f t="shared" si="20"/>
        <v>0</v>
      </c>
      <c r="L322" s="10">
        <f t="shared" si="21"/>
        <v>0</v>
      </c>
      <c r="M322" s="11">
        <f t="shared" si="22"/>
        <v>0</v>
      </c>
      <c r="N322" s="10">
        <f t="shared" si="23"/>
        <v>0</v>
      </c>
    </row>
    <row r="323" spans="11:14" x14ac:dyDescent="0.25">
      <c r="K323" s="11">
        <f t="shared" si="20"/>
        <v>0</v>
      </c>
      <c r="L323" s="10">
        <f t="shared" si="21"/>
        <v>0</v>
      </c>
      <c r="M323" s="11">
        <f t="shared" si="22"/>
        <v>0</v>
      </c>
      <c r="N323" s="10">
        <f t="shared" si="23"/>
        <v>0</v>
      </c>
    </row>
    <row r="324" spans="11:14" x14ac:dyDescent="0.25">
      <c r="K324" s="11">
        <f t="shared" si="20"/>
        <v>0</v>
      </c>
      <c r="L324" s="10">
        <f t="shared" si="21"/>
        <v>0</v>
      </c>
      <c r="M324" s="11">
        <f t="shared" si="22"/>
        <v>0</v>
      </c>
      <c r="N324" s="10">
        <f t="shared" si="23"/>
        <v>0</v>
      </c>
    </row>
    <row r="325" spans="11:14" x14ac:dyDescent="0.25">
      <c r="K325" s="11">
        <f t="shared" si="20"/>
        <v>0</v>
      </c>
      <c r="L325" s="10">
        <f t="shared" si="21"/>
        <v>0</v>
      </c>
      <c r="M325" s="11">
        <f t="shared" si="22"/>
        <v>0</v>
      </c>
      <c r="N325" s="10">
        <f t="shared" si="23"/>
        <v>0</v>
      </c>
    </row>
    <row r="326" spans="11:14" x14ac:dyDescent="0.25">
      <c r="K326" s="11">
        <f t="shared" si="20"/>
        <v>0</v>
      </c>
      <c r="L326" s="10">
        <f t="shared" si="21"/>
        <v>0</v>
      </c>
      <c r="M326" s="11">
        <f t="shared" si="22"/>
        <v>0</v>
      </c>
      <c r="N326" s="10">
        <f t="shared" si="23"/>
        <v>0</v>
      </c>
    </row>
    <row r="327" spans="11:14" x14ac:dyDescent="0.25">
      <c r="K327" s="11">
        <f t="shared" si="20"/>
        <v>0</v>
      </c>
      <c r="L327" s="10">
        <f t="shared" si="21"/>
        <v>0</v>
      </c>
      <c r="M327" s="11">
        <f t="shared" si="22"/>
        <v>0</v>
      </c>
      <c r="N327" s="10">
        <f t="shared" si="23"/>
        <v>0</v>
      </c>
    </row>
    <row r="328" spans="11:14" x14ac:dyDescent="0.25">
      <c r="K328" s="11">
        <f t="shared" si="20"/>
        <v>0</v>
      </c>
      <c r="L328" s="10">
        <f t="shared" si="21"/>
        <v>0</v>
      </c>
      <c r="M328" s="11">
        <f t="shared" si="22"/>
        <v>0</v>
      </c>
      <c r="N328" s="10">
        <f t="shared" si="23"/>
        <v>0</v>
      </c>
    </row>
    <row r="329" spans="11:14" x14ac:dyDescent="0.25">
      <c r="K329" s="11">
        <f t="shared" si="20"/>
        <v>0</v>
      </c>
      <c r="L329" s="10">
        <f t="shared" si="21"/>
        <v>0</v>
      </c>
      <c r="M329" s="11">
        <f t="shared" si="22"/>
        <v>0</v>
      </c>
      <c r="N329" s="10">
        <f t="shared" si="23"/>
        <v>0</v>
      </c>
    </row>
    <row r="330" spans="11:14" x14ac:dyDescent="0.25">
      <c r="K330" s="11">
        <f t="shared" ref="K330:K393" si="24">IF(D330&gt;0,IF(G330&gt;0,((D330*E330)+F330)*G330,(D330*E330)+F330),0)</f>
        <v>0</v>
      </c>
      <c r="L330" s="10">
        <f t="shared" ref="L330:L393" si="25">IF(H330&gt;0,IF(J330&gt;0,((D330*H330)-I330)*J330,(D330*H330)-I330),0)</f>
        <v>0</v>
      </c>
      <c r="M330" s="11">
        <f t="shared" ref="M330:M393" si="26">IF(H330&gt;0,L330-K330,0)</f>
        <v>0</v>
      </c>
      <c r="N330" s="10">
        <f t="shared" ref="N330:N393" si="27">IF(H330&gt;0,H330-E330,0)</f>
        <v>0</v>
      </c>
    </row>
    <row r="331" spans="11:14" x14ac:dyDescent="0.25">
      <c r="K331" s="11">
        <f t="shared" si="24"/>
        <v>0</v>
      </c>
      <c r="L331" s="10">
        <f t="shared" si="25"/>
        <v>0</v>
      </c>
      <c r="M331" s="11">
        <f t="shared" si="26"/>
        <v>0</v>
      </c>
      <c r="N331" s="10">
        <f t="shared" si="27"/>
        <v>0</v>
      </c>
    </row>
    <row r="332" spans="11:14" x14ac:dyDescent="0.25">
      <c r="K332" s="11">
        <f t="shared" si="24"/>
        <v>0</v>
      </c>
      <c r="L332" s="10">
        <f t="shared" si="25"/>
        <v>0</v>
      </c>
      <c r="M332" s="11">
        <f t="shared" si="26"/>
        <v>0</v>
      </c>
      <c r="N332" s="10">
        <f t="shared" si="27"/>
        <v>0</v>
      </c>
    </row>
    <row r="333" spans="11:14" x14ac:dyDescent="0.25">
      <c r="K333" s="11">
        <f t="shared" si="24"/>
        <v>0</v>
      </c>
      <c r="L333" s="10">
        <f t="shared" si="25"/>
        <v>0</v>
      </c>
      <c r="M333" s="11">
        <f t="shared" si="26"/>
        <v>0</v>
      </c>
      <c r="N333" s="10">
        <f t="shared" si="27"/>
        <v>0</v>
      </c>
    </row>
    <row r="334" spans="11:14" x14ac:dyDescent="0.25">
      <c r="K334" s="11">
        <f t="shared" si="24"/>
        <v>0</v>
      </c>
      <c r="L334" s="10">
        <f t="shared" si="25"/>
        <v>0</v>
      </c>
      <c r="M334" s="11">
        <f t="shared" si="26"/>
        <v>0</v>
      </c>
      <c r="N334" s="10">
        <f t="shared" si="27"/>
        <v>0</v>
      </c>
    </row>
    <row r="335" spans="11:14" x14ac:dyDescent="0.25">
      <c r="K335" s="11">
        <f t="shared" si="24"/>
        <v>0</v>
      </c>
      <c r="L335" s="10">
        <f t="shared" si="25"/>
        <v>0</v>
      </c>
      <c r="M335" s="11">
        <f t="shared" si="26"/>
        <v>0</v>
      </c>
      <c r="N335" s="10">
        <f t="shared" si="27"/>
        <v>0</v>
      </c>
    </row>
    <row r="336" spans="11:14" x14ac:dyDescent="0.25">
      <c r="K336" s="11">
        <f t="shared" si="24"/>
        <v>0</v>
      </c>
      <c r="L336" s="10">
        <f t="shared" si="25"/>
        <v>0</v>
      </c>
      <c r="M336" s="11">
        <f t="shared" si="26"/>
        <v>0</v>
      </c>
      <c r="N336" s="10">
        <f t="shared" si="27"/>
        <v>0</v>
      </c>
    </row>
    <row r="337" spans="11:14" x14ac:dyDescent="0.25">
      <c r="K337" s="11">
        <f t="shared" si="24"/>
        <v>0</v>
      </c>
      <c r="L337" s="10">
        <f t="shared" si="25"/>
        <v>0</v>
      </c>
      <c r="M337" s="11">
        <f t="shared" si="26"/>
        <v>0</v>
      </c>
      <c r="N337" s="10">
        <f t="shared" si="27"/>
        <v>0</v>
      </c>
    </row>
    <row r="338" spans="11:14" x14ac:dyDescent="0.25">
      <c r="K338" s="11">
        <f t="shared" si="24"/>
        <v>0</v>
      </c>
      <c r="L338" s="10">
        <f t="shared" si="25"/>
        <v>0</v>
      </c>
      <c r="M338" s="11">
        <f t="shared" si="26"/>
        <v>0</v>
      </c>
      <c r="N338" s="10">
        <f t="shared" si="27"/>
        <v>0</v>
      </c>
    </row>
    <row r="339" spans="11:14" x14ac:dyDescent="0.25">
      <c r="K339" s="11">
        <f t="shared" si="24"/>
        <v>0</v>
      </c>
      <c r="L339" s="10">
        <f t="shared" si="25"/>
        <v>0</v>
      </c>
      <c r="M339" s="11">
        <f t="shared" si="26"/>
        <v>0</v>
      </c>
      <c r="N339" s="10">
        <f t="shared" si="27"/>
        <v>0</v>
      </c>
    </row>
    <row r="340" spans="11:14" x14ac:dyDescent="0.25">
      <c r="K340" s="11">
        <f t="shared" si="24"/>
        <v>0</v>
      </c>
      <c r="L340" s="10">
        <f t="shared" si="25"/>
        <v>0</v>
      </c>
      <c r="M340" s="11">
        <f t="shared" si="26"/>
        <v>0</v>
      </c>
      <c r="N340" s="10">
        <f t="shared" si="27"/>
        <v>0</v>
      </c>
    </row>
    <row r="341" spans="11:14" x14ac:dyDescent="0.25">
      <c r="K341" s="11">
        <f t="shared" si="24"/>
        <v>0</v>
      </c>
      <c r="L341" s="10">
        <f t="shared" si="25"/>
        <v>0</v>
      </c>
      <c r="M341" s="11">
        <f t="shared" si="26"/>
        <v>0</v>
      </c>
      <c r="N341" s="10">
        <f t="shared" si="27"/>
        <v>0</v>
      </c>
    </row>
    <row r="342" spans="11:14" x14ac:dyDescent="0.25">
      <c r="K342" s="11">
        <f t="shared" si="24"/>
        <v>0</v>
      </c>
      <c r="L342" s="10">
        <f t="shared" si="25"/>
        <v>0</v>
      </c>
      <c r="M342" s="11">
        <f t="shared" si="26"/>
        <v>0</v>
      </c>
      <c r="N342" s="10">
        <f t="shared" si="27"/>
        <v>0</v>
      </c>
    </row>
    <row r="343" spans="11:14" x14ac:dyDescent="0.25">
      <c r="K343" s="11">
        <f t="shared" si="24"/>
        <v>0</v>
      </c>
      <c r="L343" s="10">
        <f t="shared" si="25"/>
        <v>0</v>
      </c>
      <c r="M343" s="11">
        <f t="shared" si="26"/>
        <v>0</v>
      </c>
      <c r="N343" s="10">
        <f t="shared" si="27"/>
        <v>0</v>
      </c>
    </row>
    <row r="344" spans="11:14" x14ac:dyDescent="0.25">
      <c r="K344" s="11">
        <f t="shared" si="24"/>
        <v>0</v>
      </c>
      <c r="L344" s="10">
        <f t="shared" si="25"/>
        <v>0</v>
      </c>
      <c r="M344" s="11">
        <f t="shared" si="26"/>
        <v>0</v>
      </c>
      <c r="N344" s="10">
        <f t="shared" si="27"/>
        <v>0</v>
      </c>
    </row>
    <row r="345" spans="11:14" x14ac:dyDescent="0.25">
      <c r="K345" s="11">
        <f t="shared" si="24"/>
        <v>0</v>
      </c>
      <c r="L345" s="10">
        <f t="shared" si="25"/>
        <v>0</v>
      </c>
      <c r="M345" s="11">
        <f t="shared" si="26"/>
        <v>0</v>
      </c>
      <c r="N345" s="10">
        <f t="shared" si="27"/>
        <v>0</v>
      </c>
    </row>
    <row r="346" spans="11:14" x14ac:dyDescent="0.25">
      <c r="K346" s="11">
        <f t="shared" si="24"/>
        <v>0</v>
      </c>
      <c r="L346" s="10">
        <f t="shared" si="25"/>
        <v>0</v>
      </c>
      <c r="M346" s="11">
        <f t="shared" si="26"/>
        <v>0</v>
      </c>
      <c r="N346" s="10">
        <f t="shared" si="27"/>
        <v>0</v>
      </c>
    </row>
    <row r="347" spans="11:14" x14ac:dyDescent="0.25">
      <c r="K347" s="11">
        <f t="shared" si="24"/>
        <v>0</v>
      </c>
      <c r="L347" s="10">
        <f t="shared" si="25"/>
        <v>0</v>
      </c>
      <c r="M347" s="11">
        <f t="shared" si="26"/>
        <v>0</v>
      </c>
      <c r="N347" s="10">
        <f t="shared" si="27"/>
        <v>0</v>
      </c>
    </row>
    <row r="348" spans="11:14" x14ac:dyDescent="0.25">
      <c r="K348" s="11">
        <f t="shared" si="24"/>
        <v>0</v>
      </c>
      <c r="L348" s="10">
        <f t="shared" si="25"/>
        <v>0</v>
      </c>
      <c r="M348" s="11">
        <f t="shared" si="26"/>
        <v>0</v>
      </c>
      <c r="N348" s="10">
        <f t="shared" si="27"/>
        <v>0</v>
      </c>
    </row>
    <row r="349" spans="11:14" x14ac:dyDescent="0.25">
      <c r="K349" s="11">
        <f t="shared" si="24"/>
        <v>0</v>
      </c>
      <c r="L349" s="10">
        <f t="shared" si="25"/>
        <v>0</v>
      </c>
      <c r="M349" s="11">
        <f t="shared" si="26"/>
        <v>0</v>
      </c>
      <c r="N349" s="10">
        <f t="shared" si="27"/>
        <v>0</v>
      </c>
    </row>
    <row r="350" spans="11:14" x14ac:dyDescent="0.25">
      <c r="K350" s="11">
        <f t="shared" si="24"/>
        <v>0</v>
      </c>
      <c r="L350" s="10">
        <f t="shared" si="25"/>
        <v>0</v>
      </c>
      <c r="M350" s="11">
        <f t="shared" si="26"/>
        <v>0</v>
      </c>
      <c r="N350" s="10">
        <f t="shared" si="27"/>
        <v>0</v>
      </c>
    </row>
    <row r="351" spans="11:14" x14ac:dyDescent="0.25">
      <c r="K351" s="11">
        <f t="shared" si="24"/>
        <v>0</v>
      </c>
      <c r="L351" s="10">
        <f t="shared" si="25"/>
        <v>0</v>
      </c>
      <c r="M351" s="11">
        <f t="shared" si="26"/>
        <v>0</v>
      </c>
      <c r="N351" s="10">
        <f t="shared" si="27"/>
        <v>0</v>
      </c>
    </row>
    <row r="352" spans="11:14" x14ac:dyDescent="0.25">
      <c r="K352" s="11">
        <f t="shared" si="24"/>
        <v>0</v>
      </c>
      <c r="L352" s="10">
        <f t="shared" si="25"/>
        <v>0</v>
      </c>
      <c r="M352" s="11">
        <f t="shared" si="26"/>
        <v>0</v>
      </c>
      <c r="N352" s="10">
        <f t="shared" si="27"/>
        <v>0</v>
      </c>
    </row>
    <row r="353" spans="11:14" x14ac:dyDescent="0.25">
      <c r="K353" s="11">
        <f t="shared" si="24"/>
        <v>0</v>
      </c>
      <c r="L353" s="10">
        <f t="shared" si="25"/>
        <v>0</v>
      </c>
      <c r="M353" s="11">
        <f t="shared" si="26"/>
        <v>0</v>
      </c>
      <c r="N353" s="10">
        <f t="shared" si="27"/>
        <v>0</v>
      </c>
    </row>
    <row r="354" spans="11:14" x14ac:dyDescent="0.25">
      <c r="K354" s="11">
        <f t="shared" si="24"/>
        <v>0</v>
      </c>
      <c r="L354" s="10">
        <f t="shared" si="25"/>
        <v>0</v>
      </c>
      <c r="M354" s="11">
        <f t="shared" si="26"/>
        <v>0</v>
      </c>
      <c r="N354" s="10">
        <f t="shared" si="27"/>
        <v>0</v>
      </c>
    </row>
    <row r="355" spans="11:14" x14ac:dyDescent="0.25">
      <c r="K355" s="11">
        <f t="shared" si="24"/>
        <v>0</v>
      </c>
      <c r="L355" s="10">
        <f t="shared" si="25"/>
        <v>0</v>
      </c>
      <c r="M355" s="11">
        <f t="shared" si="26"/>
        <v>0</v>
      </c>
      <c r="N355" s="10">
        <f t="shared" si="27"/>
        <v>0</v>
      </c>
    </row>
    <row r="356" spans="11:14" x14ac:dyDescent="0.25">
      <c r="K356" s="11">
        <f t="shared" si="24"/>
        <v>0</v>
      </c>
      <c r="L356" s="10">
        <f t="shared" si="25"/>
        <v>0</v>
      </c>
      <c r="M356" s="11">
        <f t="shared" si="26"/>
        <v>0</v>
      </c>
      <c r="N356" s="10">
        <f t="shared" si="27"/>
        <v>0</v>
      </c>
    </row>
    <row r="357" spans="11:14" x14ac:dyDescent="0.25">
      <c r="K357" s="11">
        <f t="shared" si="24"/>
        <v>0</v>
      </c>
      <c r="L357" s="10">
        <f t="shared" si="25"/>
        <v>0</v>
      </c>
      <c r="M357" s="11">
        <f t="shared" si="26"/>
        <v>0</v>
      </c>
      <c r="N357" s="10">
        <f t="shared" si="27"/>
        <v>0</v>
      </c>
    </row>
    <row r="358" spans="11:14" x14ac:dyDescent="0.25">
      <c r="K358" s="11">
        <f t="shared" si="24"/>
        <v>0</v>
      </c>
      <c r="L358" s="10">
        <f t="shared" si="25"/>
        <v>0</v>
      </c>
      <c r="M358" s="11">
        <f t="shared" si="26"/>
        <v>0</v>
      </c>
      <c r="N358" s="10">
        <f t="shared" si="27"/>
        <v>0</v>
      </c>
    </row>
    <row r="359" spans="11:14" x14ac:dyDescent="0.25">
      <c r="K359" s="11">
        <f t="shared" si="24"/>
        <v>0</v>
      </c>
      <c r="L359" s="10">
        <f t="shared" si="25"/>
        <v>0</v>
      </c>
      <c r="M359" s="11">
        <f t="shared" si="26"/>
        <v>0</v>
      </c>
      <c r="N359" s="10">
        <f t="shared" si="27"/>
        <v>0</v>
      </c>
    </row>
    <row r="360" spans="11:14" x14ac:dyDescent="0.25">
      <c r="K360" s="11">
        <f t="shared" si="24"/>
        <v>0</v>
      </c>
      <c r="L360" s="10">
        <f t="shared" si="25"/>
        <v>0</v>
      </c>
      <c r="M360" s="11">
        <f t="shared" si="26"/>
        <v>0</v>
      </c>
      <c r="N360" s="10">
        <f t="shared" si="27"/>
        <v>0</v>
      </c>
    </row>
    <row r="361" spans="11:14" x14ac:dyDescent="0.25">
      <c r="K361" s="11">
        <f t="shared" si="24"/>
        <v>0</v>
      </c>
      <c r="L361" s="10">
        <f t="shared" si="25"/>
        <v>0</v>
      </c>
      <c r="M361" s="11">
        <f t="shared" si="26"/>
        <v>0</v>
      </c>
      <c r="N361" s="10">
        <f t="shared" si="27"/>
        <v>0</v>
      </c>
    </row>
    <row r="362" spans="11:14" x14ac:dyDescent="0.25">
      <c r="K362" s="11">
        <f t="shared" si="24"/>
        <v>0</v>
      </c>
      <c r="L362" s="10">
        <f t="shared" si="25"/>
        <v>0</v>
      </c>
      <c r="M362" s="11">
        <f t="shared" si="26"/>
        <v>0</v>
      </c>
      <c r="N362" s="10">
        <f t="shared" si="27"/>
        <v>0</v>
      </c>
    </row>
    <row r="363" spans="11:14" x14ac:dyDescent="0.25">
      <c r="K363" s="11">
        <f t="shared" si="24"/>
        <v>0</v>
      </c>
      <c r="L363" s="10">
        <f t="shared" si="25"/>
        <v>0</v>
      </c>
      <c r="M363" s="11">
        <f t="shared" si="26"/>
        <v>0</v>
      </c>
      <c r="N363" s="10">
        <f t="shared" si="27"/>
        <v>0</v>
      </c>
    </row>
    <row r="364" spans="11:14" x14ac:dyDescent="0.25">
      <c r="K364" s="11">
        <f t="shared" si="24"/>
        <v>0</v>
      </c>
      <c r="L364" s="10">
        <f t="shared" si="25"/>
        <v>0</v>
      </c>
      <c r="M364" s="11">
        <f t="shared" si="26"/>
        <v>0</v>
      </c>
      <c r="N364" s="10">
        <f t="shared" si="27"/>
        <v>0</v>
      </c>
    </row>
    <row r="365" spans="11:14" x14ac:dyDescent="0.25">
      <c r="K365" s="11">
        <f t="shared" si="24"/>
        <v>0</v>
      </c>
      <c r="L365" s="10">
        <f t="shared" si="25"/>
        <v>0</v>
      </c>
      <c r="M365" s="11">
        <f t="shared" si="26"/>
        <v>0</v>
      </c>
      <c r="N365" s="10">
        <f t="shared" si="27"/>
        <v>0</v>
      </c>
    </row>
    <row r="366" spans="11:14" x14ac:dyDescent="0.25">
      <c r="K366" s="11">
        <f t="shared" si="24"/>
        <v>0</v>
      </c>
      <c r="L366" s="10">
        <f t="shared" si="25"/>
        <v>0</v>
      </c>
      <c r="M366" s="11">
        <f t="shared" si="26"/>
        <v>0</v>
      </c>
      <c r="N366" s="10">
        <f t="shared" si="27"/>
        <v>0</v>
      </c>
    </row>
    <row r="367" spans="11:14" x14ac:dyDescent="0.25">
      <c r="K367" s="11">
        <f t="shared" si="24"/>
        <v>0</v>
      </c>
      <c r="L367" s="10">
        <f t="shared" si="25"/>
        <v>0</v>
      </c>
      <c r="M367" s="11">
        <f t="shared" si="26"/>
        <v>0</v>
      </c>
      <c r="N367" s="10">
        <f t="shared" si="27"/>
        <v>0</v>
      </c>
    </row>
    <row r="368" spans="11:14" x14ac:dyDescent="0.25">
      <c r="K368" s="11">
        <f t="shared" si="24"/>
        <v>0</v>
      </c>
      <c r="L368" s="10">
        <f t="shared" si="25"/>
        <v>0</v>
      </c>
      <c r="M368" s="11">
        <f t="shared" si="26"/>
        <v>0</v>
      </c>
      <c r="N368" s="10">
        <f t="shared" si="27"/>
        <v>0</v>
      </c>
    </row>
    <row r="369" spans="11:14" x14ac:dyDescent="0.25">
      <c r="K369" s="11">
        <f t="shared" si="24"/>
        <v>0</v>
      </c>
      <c r="L369" s="10">
        <f t="shared" si="25"/>
        <v>0</v>
      </c>
      <c r="M369" s="11">
        <f t="shared" si="26"/>
        <v>0</v>
      </c>
      <c r="N369" s="10">
        <f t="shared" si="27"/>
        <v>0</v>
      </c>
    </row>
    <row r="370" spans="11:14" x14ac:dyDescent="0.25">
      <c r="K370" s="11">
        <f t="shared" si="24"/>
        <v>0</v>
      </c>
      <c r="L370" s="10">
        <f t="shared" si="25"/>
        <v>0</v>
      </c>
      <c r="M370" s="11">
        <f t="shared" si="26"/>
        <v>0</v>
      </c>
      <c r="N370" s="10">
        <f t="shared" si="27"/>
        <v>0</v>
      </c>
    </row>
    <row r="371" spans="11:14" x14ac:dyDescent="0.25">
      <c r="K371" s="11">
        <f t="shared" si="24"/>
        <v>0</v>
      </c>
      <c r="L371" s="10">
        <f t="shared" si="25"/>
        <v>0</v>
      </c>
      <c r="M371" s="11">
        <f t="shared" si="26"/>
        <v>0</v>
      </c>
      <c r="N371" s="10">
        <f t="shared" si="27"/>
        <v>0</v>
      </c>
    </row>
    <row r="372" spans="11:14" x14ac:dyDescent="0.25">
      <c r="K372" s="11">
        <f t="shared" si="24"/>
        <v>0</v>
      </c>
      <c r="L372" s="10">
        <f t="shared" si="25"/>
        <v>0</v>
      </c>
      <c r="M372" s="11">
        <f t="shared" si="26"/>
        <v>0</v>
      </c>
      <c r="N372" s="10">
        <f t="shared" si="27"/>
        <v>0</v>
      </c>
    </row>
    <row r="373" spans="11:14" x14ac:dyDescent="0.25">
      <c r="K373" s="11">
        <f t="shared" si="24"/>
        <v>0</v>
      </c>
      <c r="L373" s="10">
        <f t="shared" si="25"/>
        <v>0</v>
      </c>
      <c r="M373" s="11">
        <f t="shared" si="26"/>
        <v>0</v>
      </c>
      <c r="N373" s="10">
        <f t="shared" si="27"/>
        <v>0</v>
      </c>
    </row>
    <row r="374" spans="11:14" x14ac:dyDescent="0.25">
      <c r="K374" s="11">
        <f t="shared" si="24"/>
        <v>0</v>
      </c>
      <c r="L374" s="10">
        <f t="shared" si="25"/>
        <v>0</v>
      </c>
      <c r="M374" s="11">
        <f t="shared" si="26"/>
        <v>0</v>
      </c>
      <c r="N374" s="10">
        <f t="shared" si="27"/>
        <v>0</v>
      </c>
    </row>
    <row r="375" spans="11:14" x14ac:dyDescent="0.25">
      <c r="K375" s="11">
        <f t="shared" si="24"/>
        <v>0</v>
      </c>
      <c r="L375" s="10">
        <f t="shared" si="25"/>
        <v>0</v>
      </c>
      <c r="M375" s="11">
        <f t="shared" si="26"/>
        <v>0</v>
      </c>
      <c r="N375" s="10">
        <f t="shared" si="27"/>
        <v>0</v>
      </c>
    </row>
    <row r="376" spans="11:14" x14ac:dyDescent="0.25">
      <c r="K376" s="11">
        <f t="shared" si="24"/>
        <v>0</v>
      </c>
      <c r="L376" s="10">
        <f t="shared" si="25"/>
        <v>0</v>
      </c>
      <c r="M376" s="11">
        <f t="shared" si="26"/>
        <v>0</v>
      </c>
      <c r="N376" s="10">
        <f t="shared" si="27"/>
        <v>0</v>
      </c>
    </row>
    <row r="377" spans="11:14" x14ac:dyDescent="0.25">
      <c r="K377" s="11">
        <f t="shared" si="24"/>
        <v>0</v>
      </c>
      <c r="L377" s="10">
        <f t="shared" si="25"/>
        <v>0</v>
      </c>
      <c r="M377" s="11">
        <f t="shared" si="26"/>
        <v>0</v>
      </c>
      <c r="N377" s="10">
        <f t="shared" si="27"/>
        <v>0</v>
      </c>
    </row>
    <row r="378" spans="11:14" x14ac:dyDescent="0.25">
      <c r="K378" s="11">
        <f t="shared" si="24"/>
        <v>0</v>
      </c>
      <c r="L378" s="10">
        <f t="shared" si="25"/>
        <v>0</v>
      </c>
      <c r="M378" s="11">
        <f t="shared" si="26"/>
        <v>0</v>
      </c>
      <c r="N378" s="10">
        <f t="shared" si="27"/>
        <v>0</v>
      </c>
    </row>
    <row r="379" spans="11:14" x14ac:dyDescent="0.25">
      <c r="K379" s="11">
        <f t="shared" si="24"/>
        <v>0</v>
      </c>
      <c r="L379" s="10">
        <f t="shared" si="25"/>
        <v>0</v>
      </c>
      <c r="M379" s="11">
        <f t="shared" si="26"/>
        <v>0</v>
      </c>
      <c r="N379" s="10">
        <f t="shared" si="27"/>
        <v>0</v>
      </c>
    </row>
    <row r="380" spans="11:14" x14ac:dyDescent="0.25">
      <c r="K380" s="11">
        <f t="shared" si="24"/>
        <v>0</v>
      </c>
      <c r="L380" s="10">
        <f t="shared" si="25"/>
        <v>0</v>
      </c>
      <c r="M380" s="11">
        <f t="shared" si="26"/>
        <v>0</v>
      </c>
      <c r="N380" s="10">
        <f t="shared" si="27"/>
        <v>0</v>
      </c>
    </row>
    <row r="381" spans="11:14" x14ac:dyDescent="0.25">
      <c r="K381" s="11">
        <f t="shared" si="24"/>
        <v>0</v>
      </c>
      <c r="L381" s="10">
        <f t="shared" si="25"/>
        <v>0</v>
      </c>
      <c r="M381" s="11">
        <f t="shared" si="26"/>
        <v>0</v>
      </c>
      <c r="N381" s="10">
        <f t="shared" si="27"/>
        <v>0</v>
      </c>
    </row>
    <row r="382" spans="11:14" x14ac:dyDescent="0.25">
      <c r="K382" s="11">
        <f t="shared" si="24"/>
        <v>0</v>
      </c>
      <c r="L382" s="10">
        <f t="shared" si="25"/>
        <v>0</v>
      </c>
      <c r="M382" s="11">
        <f t="shared" si="26"/>
        <v>0</v>
      </c>
      <c r="N382" s="10">
        <f t="shared" si="27"/>
        <v>0</v>
      </c>
    </row>
    <row r="383" spans="11:14" x14ac:dyDescent="0.25">
      <c r="K383" s="11">
        <f t="shared" si="24"/>
        <v>0</v>
      </c>
      <c r="L383" s="10">
        <f t="shared" si="25"/>
        <v>0</v>
      </c>
      <c r="M383" s="11">
        <f t="shared" si="26"/>
        <v>0</v>
      </c>
      <c r="N383" s="10">
        <f t="shared" si="27"/>
        <v>0</v>
      </c>
    </row>
    <row r="384" spans="11:14" x14ac:dyDescent="0.25">
      <c r="K384" s="11">
        <f t="shared" si="24"/>
        <v>0</v>
      </c>
      <c r="L384" s="10">
        <f t="shared" si="25"/>
        <v>0</v>
      </c>
      <c r="M384" s="11">
        <f t="shared" si="26"/>
        <v>0</v>
      </c>
      <c r="N384" s="10">
        <f t="shared" si="27"/>
        <v>0</v>
      </c>
    </row>
    <row r="385" spans="11:14" x14ac:dyDescent="0.25">
      <c r="K385" s="11">
        <f t="shared" si="24"/>
        <v>0</v>
      </c>
      <c r="L385" s="10">
        <f t="shared" si="25"/>
        <v>0</v>
      </c>
      <c r="M385" s="11">
        <f t="shared" si="26"/>
        <v>0</v>
      </c>
      <c r="N385" s="10">
        <f t="shared" si="27"/>
        <v>0</v>
      </c>
    </row>
    <row r="386" spans="11:14" x14ac:dyDescent="0.25">
      <c r="K386" s="11">
        <f t="shared" si="24"/>
        <v>0</v>
      </c>
      <c r="L386" s="10">
        <f t="shared" si="25"/>
        <v>0</v>
      </c>
      <c r="M386" s="11">
        <f t="shared" si="26"/>
        <v>0</v>
      </c>
      <c r="N386" s="10">
        <f t="shared" si="27"/>
        <v>0</v>
      </c>
    </row>
    <row r="387" spans="11:14" x14ac:dyDescent="0.25">
      <c r="K387" s="11">
        <f t="shared" si="24"/>
        <v>0</v>
      </c>
      <c r="L387" s="10">
        <f t="shared" si="25"/>
        <v>0</v>
      </c>
      <c r="M387" s="11">
        <f t="shared" si="26"/>
        <v>0</v>
      </c>
      <c r="N387" s="10">
        <f t="shared" si="27"/>
        <v>0</v>
      </c>
    </row>
    <row r="388" spans="11:14" x14ac:dyDescent="0.25">
      <c r="K388" s="11">
        <f t="shared" si="24"/>
        <v>0</v>
      </c>
      <c r="L388" s="10">
        <f t="shared" si="25"/>
        <v>0</v>
      </c>
      <c r="M388" s="11">
        <f t="shared" si="26"/>
        <v>0</v>
      </c>
      <c r="N388" s="10">
        <f t="shared" si="27"/>
        <v>0</v>
      </c>
    </row>
    <row r="389" spans="11:14" x14ac:dyDescent="0.25">
      <c r="K389" s="11">
        <f t="shared" si="24"/>
        <v>0</v>
      </c>
      <c r="L389" s="10">
        <f t="shared" si="25"/>
        <v>0</v>
      </c>
      <c r="M389" s="11">
        <f t="shared" si="26"/>
        <v>0</v>
      </c>
      <c r="N389" s="10">
        <f t="shared" si="27"/>
        <v>0</v>
      </c>
    </row>
    <row r="390" spans="11:14" x14ac:dyDescent="0.25">
      <c r="K390" s="11">
        <f t="shared" si="24"/>
        <v>0</v>
      </c>
      <c r="L390" s="10">
        <f t="shared" si="25"/>
        <v>0</v>
      </c>
      <c r="M390" s="11">
        <f t="shared" si="26"/>
        <v>0</v>
      </c>
      <c r="N390" s="10">
        <f t="shared" si="27"/>
        <v>0</v>
      </c>
    </row>
    <row r="391" spans="11:14" x14ac:dyDescent="0.25">
      <c r="K391" s="11">
        <f t="shared" si="24"/>
        <v>0</v>
      </c>
      <c r="L391" s="10">
        <f t="shared" si="25"/>
        <v>0</v>
      </c>
      <c r="M391" s="11">
        <f t="shared" si="26"/>
        <v>0</v>
      </c>
      <c r="N391" s="10">
        <f t="shared" si="27"/>
        <v>0</v>
      </c>
    </row>
    <row r="392" spans="11:14" x14ac:dyDescent="0.25">
      <c r="K392" s="11">
        <f t="shared" si="24"/>
        <v>0</v>
      </c>
      <c r="L392" s="10">
        <f t="shared" si="25"/>
        <v>0</v>
      </c>
      <c r="M392" s="11">
        <f t="shared" si="26"/>
        <v>0</v>
      </c>
      <c r="N392" s="10">
        <f t="shared" si="27"/>
        <v>0</v>
      </c>
    </row>
    <row r="393" spans="11:14" x14ac:dyDescent="0.25">
      <c r="K393" s="11">
        <f t="shared" si="24"/>
        <v>0</v>
      </c>
      <c r="L393" s="10">
        <f t="shared" si="25"/>
        <v>0</v>
      </c>
      <c r="M393" s="11">
        <f t="shared" si="26"/>
        <v>0</v>
      </c>
      <c r="N393" s="10">
        <f t="shared" si="27"/>
        <v>0</v>
      </c>
    </row>
    <row r="394" spans="11:14" x14ac:dyDescent="0.25">
      <c r="K394" s="11">
        <f t="shared" ref="K394:K457" si="28">IF(D394&gt;0,IF(G394&gt;0,((D394*E394)+F394)*G394,(D394*E394)+F394),0)</f>
        <v>0</v>
      </c>
      <c r="L394" s="10">
        <f t="shared" ref="L394:L457" si="29">IF(H394&gt;0,IF(J394&gt;0,((D394*H394)-I394)*J394,(D394*H394)-I394),0)</f>
        <v>0</v>
      </c>
      <c r="M394" s="11">
        <f t="shared" ref="M394:M457" si="30">IF(H394&gt;0,L394-K394,0)</f>
        <v>0</v>
      </c>
      <c r="N394" s="10">
        <f t="shared" ref="N394:N457" si="31">IF(H394&gt;0,H394-E394,0)</f>
        <v>0</v>
      </c>
    </row>
    <row r="395" spans="11:14" x14ac:dyDescent="0.25">
      <c r="K395" s="11">
        <f t="shared" si="28"/>
        <v>0</v>
      </c>
      <c r="L395" s="10">
        <f t="shared" si="29"/>
        <v>0</v>
      </c>
      <c r="M395" s="11">
        <f t="shared" si="30"/>
        <v>0</v>
      </c>
      <c r="N395" s="10">
        <f t="shared" si="31"/>
        <v>0</v>
      </c>
    </row>
    <row r="396" spans="11:14" x14ac:dyDescent="0.25">
      <c r="K396" s="11">
        <f t="shared" si="28"/>
        <v>0</v>
      </c>
      <c r="L396" s="10">
        <f t="shared" si="29"/>
        <v>0</v>
      </c>
      <c r="M396" s="11">
        <f t="shared" si="30"/>
        <v>0</v>
      </c>
      <c r="N396" s="10">
        <f t="shared" si="31"/>
        <v>0</v>
      </c>
    </row>
    <row r="397" spans="11:14" x14ac:dyDescent="0.25">
      <c r="K397" s="11">
        <f t="shared" si="28"/>
        <v>0</v>
      </c>
      <c r="L397" s="10">
        <f t="shared" si="29"/>
        <v>0</v>
      </c>
      <c r="M397" s="11">
        <f t="shared" si="30"/>
        <v>0</v>
      </c>
      <c r="N397" s="10">
        <f t="shared" si="31"/>
        <v>0</v>
      </c>
    </row>
    <row r="398" spans="11:14" x14ac:dyDescent="0.25">
      <c r="K398" s="11">
        <f t="shared" si="28"/>
        <v>0</v>
      </c>
      <c r="L398" s="10">
        <f t="shared" si="29"/>
        <v>0</v>
      </c>
      <c r="M398" s="11">
        <f t="shared" si="30"/>
        <v>0</v>
      </c>
      <c r="N398" s="10">
        <f t="shared" si="31"/>
        <v>0</v>
      </c>
    </row>
    <row r="399" spans="11:14" x14ac:dyDescent="0.25">
      <c r="K399" s="11">
        <f t="shared" si="28"/>
        <v>0</v>
      </c>
      <c r="L399" s="10">
        <f t="shared" si="29"/>
        <v>0</v>
      </c>
      <c r="M399" s="11">
        <f t="shared" si="30"/>
        <v>0</v>
      </c>
      <c r="N399" s="10">
        <f t="shared" si="31"/>
        <v>0</v>
      </c>
    </row>
    <row r="400" spans="11:14" x14ac:dyDescent="0.25">
      <c r="K400" s="11">
        <f t="shared" si="28"/>
        <v>0</v>
      </c>
      <c r="L400" s="10">
        <f t="shared" si="29"/>
        <v>0</v>
      </c>
      <c r="M400" s="11">
        <f t="shared" si="30"/>
        <v>0</v>
      </c>
      <c r="N400" s="10">
        <f t="shared" si="31"/>
        <v>0</v>
      </c>
    </row>
    <row r="401" spans="11:14" x14ac:dyDescent="0.25">
      <c r="K401" s="11">
        <f t="shared" si="28"/>
        <v>0</v>
      </c>
      <c r="L401" s="10">
        <f t="shared" si="29"/>
        <v>0</v>
      </c>
      <c r="M401" s="11">
        <f t="shared" si="30"/>
        <v>0</v>
      </c>
      <c r="N401" s="10">
        <f t="shared" si="31"/>
        <v>0</v>
      </c>
    </row>
    <row r="402" spans="11:14" x14ac:dyDescent="0.25">
      <c r="K402" s="11">
        <f t="shared" si="28"/>
        <v>0</v>
      </c>
      <c r="L402" s="10">
        <f t="shared" si="29"/>
        <v>0</v>
      </c>
      <c r="M402" s="11">
        <f t="shared" si="30"/>
        <v>0</v>
      </c>
      <c r="N402" s="10">
        <f t="shared" si="31"/>
        <v>0</v>
      </c>
    </row>
    <row r="403" spans="11:14" x14ac:dyDescent="0.25">
      <c r="K403" s="11">
        <f t="shared" si="28"/>
        <v>0</v>
      </c>
      <c r="L403" s="10">
        <f t="shared" si="29"/>
        <v>0</v>
      </c>
      <c r="M403" s="11">
        <f t="shared" si="30"/>
        <v>0</v>
      </c>
      <c r="N403" s="10">
        <f t="shared" si="31"/>
        <v>0</v>
      </c>
    </row>
    <row r="404" spans="11:14" x14ac:dyDescent="0.25">
      <c r="K404" s="11">
        <f t="shared" si="28"/>
        <v>0</v>
      </c>
      <c r="L404" s="10">
        <f t="shared" si="29"/>
        <v>0</v>
      </c>
      <c r="M404" s="11">
        <f t="shared" si="30"/>
        <v>0</v>
      </c>
      <c r="N404" s="10">
        <f t="shared" si="31"/>
        <v>0</v>
      </c>
    </row>
    <row r="405" spans="11:14" x14ac:dyDescent="0.25">
      <c r="K405" s="11">
        <f t="shared" si="28"/>
        <v>0</v>
      </c>
      <c r="L405" s="10">
        <f t="shared" si="29"/>
        <v>0</v>
      </c>
      <c r="M405" s="11">
        <f t="shared" si="30"/>
        <v>0</v>
      </c>
      <c r="N405" s="10">
        <f t="shared" si="31"/>
        <v>0</v>
      </c>
    </row>
    <row r="406" spans="11:14" x14ac:dyDescent="0.25">
      <c r="K406" s="11">
        <f t="shared" si="28"/>
        <v>0</v>
      </c>
      <c r="L406" s="10">
        <f t="shared" si="29"/>
        <v>0</v>
      </c>
      <c r="M406" s="11">
        <f t="shared" si="30"/>
        <v>0</v>
      </c>
      <c r="N406" s="10">
        <f t="shared" si="31"/>
        <v>0</v>
      </c>
    </row>
    <row r="407" spans="11:14" x14ac:dyDescent="0.25">
      <c r="K407" s="11">
        <f t="shared" si="28"/>
        <v>0</v>
      </c>
      <c r="L407" s="10">
        <f t="shared" si="29"/>
        <v>0</v>
      </c>
      <c r="M407" s="11">
        <f t="shared" si="30"/>
        <v>0</v>
      </c>
      <c r="N407" s="10">
        <f t="shared" si="31"/>
        <v>0</v>
      </c>
    </row>
    <row r="408" spans="11:14" x14ac:dyDescent="0.25">
      <c r="K408" s="11">
        <f t="shared" si="28"/>
        <v>0</v>
      </c>
      <c r="L408" s="10">
        <f t="shared" si="29"/>
        <v>0</v>
      </c>
      <c r="M408" s="11">
        <f t="shared" si="30"/>
        <v>0</v>
      </c>
      <c r="N408" s="10">
        <f t="shared" si="31"/>
        <v>0</v>
      </c>
    </row>
    <row r="409" spans="11:14" x14ac:dyDescent="0.25">
      <c r="K409" s="11">
        <f t="shared" si="28"/>
        <v>0</v>
      </c>
      <c r="L409" s="10">
        <f t="shared" si="29"/>
        <v>0</v>
      </c>
      <c r="M409" s="11">
        <f t="shared" si="30"/>
        <v>0</v>
      </c>
      <c r="N409" s="10">
        <f t="shared" si="31"/>
        <v>0</v>
      </c>
    </row>
    <row r="410" spans="11:14" x14ac:dyDescent="0.25">
      <c r="K410" s="11">
        <f t="shared" si="28"/>
        <v>0</v>
      </c>
      <c r="L410" s="10">
        <f t="shared" si="29"/>
        <v>0</v>
      </c>
      <c r="M410" s="11">
        <f t="shared" si="30"/>
        <v>0</v>
      </c>
      <c r="N410" s="10">
        <f t="shared" si="31"/>
        <v>0</v>
      </c>
    </row>
    <row r="411" spans="11:14" x14ac:dyDescent="0.25">
      <c r="K411" s="11">
        <f t="shared" si="28"/>
        <v>0</v>
      </c>
      <c r="L411" s="10">
        <f t="shared" si="29"/>
        <v>0</v>
      </c>
      <c r="M411" s="11">
        <f t="shared" si="30"/>
        <v>0</v>
      </c>
      <c r="N411" s="10">
        <f t="shared" si="31"/>
        <v>0</v>
      </c>
    </row>
    <row r="412" spans="11:14" x14ac:dyDescent="0.25">
      <c r="K412" s="11">
        <f t="shared" si="28"/>
        <v>0</v>
      </c>
      <c r="L412" s="10">
        <f t="shared" si="29"/>
        <v>0</v>
      </c>
      <c r="M412" s="11">
        <f t="shared" si="30"/>
        <v>0</v>
      </c>
      <c r="N412" s="10">
        <f t="shared" si="31"/>
        <v>0</v>
      </c>
    </row>
    <row r="413" spans="11:14" x14ac:dyDescent="0.25">
      <c r="K413" s="11">
        <f t="shared" si="28"/>
        <v>0</v>
      </c>
      <c r="L413" s="10">
        <f t="shared" si="29"/>
        <v>0</v>
      </c>
      <c r="M413" s="11">
        <f t="shared" si="30"/>
        <v>0</v>
      </c>
      <c r="N413" s="10">
        <f t="shared" si="31"/>
        <v>0</v>
      </c>
    </row>
    <row r="414" spans="11:14" x14ac:dyDescent="0.25">
      <c r="K414" s="11">
        <f t="shared" si="28"/>
        <v>0</v>
      </c>
      <c r="L414" s="10">
        <f t="shared" si="29"/>
        <v>0</v>
      </c>
      <c r="M414" s="11">
        <f t="shared" si="30"/>
        <v>0</v>
      </c>
      <c r="N414" s="10">
        <f t="shared" si="31"/>
        <v>0</v>
      </c>
    </row>
    <row r="415" spans="11:14" x14ac:dyDescent="0.25">
      <c r="K415" s="11">
        <f t="shared" si="28"/>
        <v>0</v>
      </c>
      <c r="L415" s="10">
        <f t="shared" si="29"/>
        <v>0</v>
      </c>
      <c r="M415" s="11">
        <f t="shared" si="30"/>
        <v>0</v>
      </c>
      <c r="N415" s="10">
        <f t="shared" si="31"/>
        <v>0</v>
      </c>
    </row>
    <row r="416" spans="11:14" x14ac:dyDescent="0.25">
      <c r="K416" s="11">
        <f t="shared" si="28"/>
        <v>0</v>
      </c>
      <c r="L416" s="10">
        <f t="shared" si="29"/>
        <v>0</v>
      </c>
      <c r="M416" s="11">
        <f t="shared" si="30"/>
        <v>0</v>
      </c>
      <c r="N416" s="10">
        <f t="shared" si="31"/>
        <v>0</v>
      </c>
    </row>
    <row r="417" spans="11:14" x14ac:dyDescent="0.25">
      <c r="K417" s="11">
        <f t="shared" si="28"/>
        <v>0</v>
      </c>
      <c r="L417" s="10">
        <f t="shared" si="29"/>
        <v>0</v>
      </c>
      <c r="M417" s="11">
        <f t="shared" si="30"/>
        <v>0</v>
      </c>
      <c r="N417" s="10">
        <f t="shared" si="31"/>
        <v>0</v>
      </c>
    </row>
    <row r="418" spans="11:14" x14ac:dyDescent="0.25">
      <c r="K418" s="11">
        <f t="shared" si="28"/>
        <v>0</v>
      </c>
      <c r="L418" s="10">
        <f t="shared" si="29"/>
        <v>0</v>
      </c>
      <c r="M418" s="11">
        <f t="shared" si="30"/>
        <v>0</v>
      </c>
      <c r="N418" s="10">
        <f t="shared" si="31"/>
        <v>0</v>
      </c>
    </row>
    <row r="419" spans="11:14" x14ac:dyDescent="0.25">
      <c r="K419" s="11">
        <f t="shared" si="28"/>
        <v>0</v>
      </c>
      <c r="L419" s="10">
        <f t="shared" si="29"/>
        <v>0</v>
      </c>
      <c r="M419" s="11">
        <f t="shared" si="30"/>
        <v>0</v>
      </c>
      <c r="N419" s="10">
        <f t="shared" si="31"/>
        <v>0</v>
      </c>
    </row>
    <row r="420" spans="11:14" x14ac:dyDescent="0.25">
      <c r="K420" s="11">
        <f t="shared" si="28"/>
        <v>0</v>
      </c>
      <c r="L420" s="10">
        <f t="shared" si="29"/>
        <v>0</v>
      </c>
      <c r="M420" s="11">
        <f t="shared" si="30"/>
        <v>0</v>
      </c>
      <c r="N420" s="10">
        <f t="shared" si="31"/>
        <v>0</v>
      </c>
    </row>
    <row r="421" spans="11:14" x14ac:dyDescent="0.25">
      <c r="K421" s="11">
        <f t="shared" si="28"/>
        <v>0</v>
      </c>
      <c r="L421" s="10">
        <f t="shared" si="29"/>
        <v>0</v>
      </c>
      <c r="M421" s="11">
        <f t="shared" si="30"/>
        <v>0</v>
      </c>
      <c r="N421" s="10">
        <f t="shared" si="31"/>
        <v>0</v>
      </c>
    </row>
    <row r="422" spans="11:14" x14ac:dyDescent="0.25">
      <c r="K422" s="11">
        <f t="shared" si="28"/>
        <v>0</v>
      </c>
      <c r="L422" s="10">
        <f t="shared" si="29"/>
        <v>0</v>
      </c>
      <c r="M422" s="11">
        <f t="shared" si="30"/>
        <v>0</v>
      </c>
      <c r="N422" s="10">
        <f t="shared" si="31"/>
        <v>0</v>
      </c>
    </row>
    <row r="423" spans="11:14" x14ac:dyDescent="0.25">
      <c r="K423" s="11">
        <f t="shared" si="28"/>
        <v>0</v>
      </c>
      <c r="L423" s="10">
        <f t="shared" si="29"/>
        <v>0</v>
      </c>
      <c r="M423" s="11">
        <f t="shared" si="30"/>
        <v>0</v>
      </c>
      <c r="N423" s="10">
        <f t="shared" si="31"/>
        <v>0</v>
      </c>
    </row>
    <row r="424" spans="11:14" x14ac:dyDescent="0.25">
      <c r="K424" s="11">
        <f t="shared" si="28"/>
        <v>0</v>
      </c>
      <c r="L424" s="10">
        <f t="shared" si="29"/>
        <v>0</v>
      </c>
      <c r="M424" s="11">
        <f t="shared" si="30"/>
        <v>0</v>
      </c>
      <c r="N424" s="10">
        <f t="shared" si="31"/>
        <v>0</v>
      </c>
    </row>
    <row r="425" spans="11:14" x14ac:dyDescent="0.25">
      <c r="K425" s="11">
        <f t="shared" si="28"/>
        <v>0</v>
      </c>
      <c r="L425" s="10">
        <f t="shared" si="29"/>
        <v>0</v>
      </c>
      <c r="M425" s="11">
        <f t="shared" si="30"/>
        <v>0</v>
      </c>
      <c r="N425" s="10">
        <f t="shared" si="31"/>
        <v>0</v>
      </c>
    </row>
    <row r="426" spans="11:14" x14ac:dyDescent="0.25">
      <c r="K426" s="11">
        <f t="shared" si="28"/>
        <v>0</v>
      </c>
      <c r="L426" s="10">
        <f t="shared" si="29"/>
        <v>0</v>
      </c>
      <c r="M426" s="11">
        <f t="shared" si="30"/>
        <v>0</v>
      </c>
      <c r="N426" s="10">
        <f t="shared" si="31"/>
        <v>0</v>
      </c>
    </row>
    <row r="427" spans="11:14" x14ac:dyDescent="0.25">
      <c r="K427" s="11">
        <f t="shared" si="28"/>
        <v>0</v>
      </c>
      <c r="L427" s="10">
        <f t="shared" si="29"/>
        <v>0</v>
      </c>
      <c r="M427" s="11">
        <f t="shared" si="30"/>
        <v>0</v>
      </c>
      <c r="N427" s="10">
        <f t="shared" si="31"/>
        <v>0</v>
      </c>
    </row>
    <row r="428" spans="11:14" x14ac:dyDescent="0.25">
      <c r="K428" s="11">
        <f t="shared" si="28"/>
        <v>0</v>
      </c>
      <c r="L428" s="10">
        <f t="shared" si="29"/>
        <v>0</v>
      </c>
      <c r="M428" s="11">
        <f t="shared" si="30"/>
        <v>0</v>
      </c>
      <c r="N428" s="10">
        <f t="shared" si="31"/>
        <v>0</v>
      </c>
    </row>
    <row r="429" spans="11:14" x14ac:dyDescent="0.25">
      <c r="K429" s="11">
        <f t="shared" si="28"/>
        <v>0</v>
      </c>
      <c r="L429" s="10">
        <f t="shared" si="29"/>
        <v>0</v>
      </c>
      <c r="M429" s="11">
        <f t="shared" si="30"/>
        <v>0</v>
      </c>
      <c r="N429" s="10">
        <f t="shared" si="31"/>
        <v>0</v>
      </c>
    </row>
    <row r="430" spans="11:14" x14ac:dyDescent="0.25">
      <c r="K430" s="11">
        <f t="shared" si="28"/>
        <v>0</v>
      </c>
      <c r="L430" s="10">
        <f t="shared" si="29"/>
        <v>0</v>
      </c>
      <c r="M430" s="11">
        <f t="shared" si="30"/>
        <v>0</v>
      </c>
      <c r="N430" s="10">
        <f t="shared" si="31"/>
        <v>0</v>
      </c>
    </row>
    <row r="431" spans="11:14" x14ac:dyDescent="0.25">
      <c r="K431" s="11">
        <f t="shared" si="28"/>
        <v>0</v>
      </c>
      <c r="L431" s="10">
        <f t="shared" si="29"/>
        <v>0</v>
      </c>
      <c r="M431" s="11">
        <f t="shared" si="30"/>
        <v>0</v>
      </c>
      <c r="N431" s="10">
        <f t="shared" si="31"/>
        <v>0</v>
      </c>
    </row>
    <row r="432" spans="11:14" x14ac:dyDescent="0.25">
      <c r="K432" s="11">
        <f t="shared" si="28"/>
        <v>0</v>
      </c>
      <c r="L432" s="10">
        <f t="shared" si="29"/>
        <v>0</v>
      </c>
      <c r="M432" s="11">
        <f t="shared" si="30"/>
        <v>0</v>
      </c>
      <c r="N432" s="10">
        <f t="shared" si="31"/>
        <v>0</v>
      </c>
    </row>
    <row r="433" spans="11:14" x14ac:dyDescent="0.25">
      <c r="K433" s="11">
        <f t="shared" si="28"/>
        <v>0</v>
      </c>
      <c r="L433" s="10">
        <f t="shared" si="29"/>
        <v>0</v>
      </c>
      <c r="M433" s="11">
        <f t="shared" si="30"/>
        <v>0</v>
      </c>
      <c r="N433" s="10">
        <f t="shared" si="31"/>
        <v>0</v>
      </c>
    </row>
    <row r="434" spans="11:14" x14ac:dyDescent="0.25">
      <c r="K434" s="11">
        <f t="shared" si="28"/>
        <v>0</v>
      </c>
      <c r="L434" s="10">
        <f t="shared" si="29"/>
        <v>0</v>
      </c>
      <c r="M434" s="11">
        <f t="shared" si="30"/>
        <v>0</v>
      </c>
      <c r="N434" s="10">
        <f t="shared" si="31"/>
        <v>0</v>
      </c>
    </row>
    <row r="435" spans="11:14" x14ac:dyDescent="0.25">
      <c r="K435" s="11">
        <f t="shared" si="28"/>
        <v>0</v>
      </c>
      <c r="L435" s="10">
        <f t="shared" si="29"/>
        <v>0</v>
      </c>
      <c r="M435" s="11">
        <f t="shared" si="30"/>
        <v>0</v>
      </c>
      <c r="N435" s="10">
        <f t="shared" si="31"/>
        <v>0</v>
      </c>
    </row>
    <row r="436" spans="11:14" x14ac:dyDescent="0.25">
      <c r="K436" s="11">
        <f t="shared" si="28"/>
        <v>0</v>
      </c>
      <c r="L436" s="10">
        <f t="shared" si="29"/>
        <v>0</v>
      </c>
      <c r="M436" s="11">
        <f t="shared" si="30"/>
        <v>0</v>
      </c>
      <c r="N436" s="10">
        <f t="shared" si="31"/>
        <v>0</v>
      </c>
    </row>
    <row r="437" spans="11:14" x14ac:dyDescent="0.25">
      <c r="K437" s="11">
        <f t="shared" si="28"/>
        <v>0</v>
      </c>
      <c r="L437" s="10">
        <f t="shared" si="29"/>
        <v>0</v>
      </c>
      <c r="M437" s="11">
        <f t="shared" si="30"/>
        <v>0</v>
      </c>
      <c r="N437" s="10">
        <f t="shared" si="31"/>
        <v>0</v>
      </c>
    </row>
    <row r="438" spans="11:14" x14ac:dyDescent="0.25">
      <c r="K438" s="11">
        <f t="shared" si="28"/>
        <v>0</v>
      </c>
      <c r="L438" s="10">
        <f t="shared" si="29"/>
        <v>0</v>
      </c>
      <c r="M438" s="11">
        <f t="shared" si="30"/>
        <v>0</v>
      </c>
      <c r="N438" s="10">
        <f t="shared" si="31"/>
        <v>0</v>
      </c>
    </row>
    <row r="439" spans="11:14" x14ac:dyDescent="0.25">
      <c r="K439" s="11">
        <f t="shared" si="28"/>
        <v>0</v>
      </c>
      <c r="L439" s="10">
        <f t="shared" si="29"/>
        <v>0</v>
      </c>
      <c r="M439" s="11">
        <f t="shared" si="30"/>
        <v>0</v>
      </c>
      <c r="N439" s="10">
        <f t="shared" si="31"/>
        <v>0</v>
      </c>
    </row>
    <row r="440" spans="11:14" x14ac:dyDescent="0.25">
      <c r="K440" s="11">
        <f t="shared" si="28"/>
        <v>0</v>
      </c>
      <c r="L440" s="10">
        <f t="shared" si="29"/>
        <v>0</v>
      </c>
      <c r="M440" s="11">
        <f t="shared" si="30"/>
        <v>0</v>
      </c>
      <c r="N440" s="10">
        <f t="shared" si="31"/>
        <v>0</v>
      </c>
    </row>
    <row r="441" spans="11:14" x14ac:dyDescent="0.25">
      <c r="K441" s="11">
        <f t="shared" si="28"/>
        <v>0</v>
      </c>
      <c r="L441" s="10">
        <f t="shared" si="29"/>
        <v>0</v>
      </c>
      <c r="M441" s="11">
        <f t="shared" si="30"/>
        <v>0</v>
      </c>
      <c r="N441" s="10">
        <f t="shared" si="31"/>
        <v>0</v>
      </c>
    </row>
    <row r="442" spans="11:14" x14ac:dyDescent="0.25">
      <c r="K442" s="11">
        <f t="shared" si="28"/>
        <v>0</v>
      </c>
      <c r="L442" s="10">
        <f t="shared" si="29"/>
        <v>0</v>
      </c>
      <c r="M442" s="11">
        <f t="shared" si="30"/>
        <v>0</v>
      </c>
      <c r="N442" s="10">
        <f t="shared" si="31"/>
        <v>0</v>
      </c>
    </row>
    <row r="443" spans="11:14" x14ac:dyDescent="0.25">
      <c r="K443" s="11">
        <f t="shared" si="28"/>
        <v>0</v>
      </c>
      <c r="L443" s="10">
        <f t="shared" si="29"/>
        <v>0</v>
      </c>
      <c r="M443" s="11">
        <f t="shared" si="30"/>
        <v>0</v>
      </c>
      <c r="N443" s="10">
        <f t="shared" si="31"/>
        <v>0</v>
      </c>
    </row>
    <row r="444" spans="11:14" x14ac:dyDescent="0.25">
      <c r="K444" s="11">
        <f t="shared" si="28"/>
        <v>0</v>
      </c>
      <c r="L444" s="10">
        <f t="shared" si="29"/>
        <v>0</v>
      </c>
      <c r="M444" s="11">
        <f t="shared" si="30"/>
        <v>0</v>
      </c>
      <c r="N444" s="10">
        <f t="shared" si="31"/>
        <v>0</v>
      </c>
    </row>
    <row r="445" spans="11:14" x14ac:dyDescent="0.25">
      <c r="K445" s="11">
        <f t="shared" si="28"/>
        <v>0</v>
      </c>
      <c r="L445" s="10">
        <f t="shared" si="29"/>
        <v>0</v>
      </c>
      <c r="M445" s="11">
        <f t="shared" si="30"/>
        <v>0</v>
      </c>
      <c r="N445" s="10">
        <f t="shared" si="31"/>
        <v>0</v>
      </c>
    </row>
    <row r="446" spans="11:14" x14ac:dyDescent="0.25">
      <c r="K446" s="11">
        <f t="shared" si="28"/>
        <v>0</v>
      </c>
      <c r="L446" s="10">
        <f t="shared" si="29"/>
        <v>0</v>
      </c>
      <c r="M446" s="11">
        <f t="shared" si="30"/>
        <v>0</v>
      </c>
      <c r="N446" s="10">
        <f t="shared" si="31"/>
        <v>0</v>
      </c>
    </row>
    <row r="447" spans="11:14" x14ac:dyDescent="0.25">
      <c r="K447" s="11">
        <f t="shared" si="28"/>
        <v>0</v>
      </c>
      <c r="L447" s="10">
        <f t="shared" si="29"/>
        <v>0</v>
      </c>
      <c r="M447" s="11">
        <f t="shared" si="30"/>
        <v>0</v>
      </c>
      <c r="N447" s="10">
        <f t="shared" si="31"/>
        <v>0</v>
      </c>
    </row>
    <row r="448" spans="11:14" x14ac:dyDescent="0.25">
      <c r="K448" s="11">
        <f t="shared" si="28"/>
        <v>0</v>
      </c>
      <c r="L448" s="10">
        <f t="shared" si="29"/>
        <v>0</v>
      </c>
      <c r="M448" s="11">
        <f t="shared" si="30"/>
        <v>0</v>
      </c>
      <c r="N448" s="10">
        <f t="shared" si="31"/>
        <v>0</v>
      </c>
    </row>
    <row r="449" spans="11:14" x14ac:dyDescent="0.25">
      <c r="K449" s="11">
        <f t="shared" si="28"/>
        <v>0</v>
      </c>
      <c r="L449" s="10">
        <f t="shared" si="29"/>
        <v>0</v>
      </c>
      <c r="M449" s="11">
        <f t="shared" si="30"/>
        <v>0</v>
      </c>
      <c r="N449" s="10">
        <f t="shared" si="31"/>
        <v>0</v>
      </c>
    </row>
    <row r="450" spans="11:14" x14ac:dyDescent="0.25">
      <c r="K450" s="11">
        <f t="shared" si="28"/>
        <v>0</v>
      </c>
      <c r="L450" s="10">
        <f t="shared" si="29"/>
        <v>0</v>
      </c>
      <c r="M450" s="11">
        <f t="shared" si="30"/>
        <v>0</v>
      </c>
      <c r="N450" s="10">
        <f t="shared" si="31"/>
        <v>0</v>
      </c>
    </row>
    <row r="451" spans="11:14" x14ac:dyDescent="0.25">
      <c r="K451" s="11">
        <f t="shared" si="28"/>
        <v>0</v>
      </c>
      <c r="L451" s="10">
        <f t="shared" si="29"/>
        <v>0</v>
      </c>
      <c r="M451" s="11">
        <f t="shared" si="30"/>
        <v>0</v>
      </c>
      <c r="N451" s="10">
        <f t="shared" si="31"/>
        <v>0</v>
      </c>
    </row>
    <row r="452" spans="11:14" x14ac:dyDescent="0.25">
      <c r="K452" s="11">
        <f t="shared" si="28"/>
        <v>0</v>
      </c>
      <c r="L452" s="10">
        <f t="shared" si="29"/>
        <v>0</v>
      </c>
      <c r="M452" s="11">
        <f t="shared" si="30"/>
        <v>0</v>
      </c>
      <c r="N452" s="10">
        <f t="shared" si="31"/>
        <v>0</v>
      </c>
    </row>
    <row r="453" spans="11:14" x14ac:dyDescent="0.25">
      <c r="K453" s="11">
        <f t="shared" si="28"/>
        <v>0</v>
      </c>
      <c r="L453" s="10">
        <f t="shared" si="29"/>
        <v>0</v>
      </c>
      <c r="M453" s="11">
        <f t="shared" si="30"/>
        <v>0</v>
      </c>
      <c r="N453" s="10">
        <f t="shared" si="31"/>
        <v>0</v>
      </c>
    </row>
    <row r="454" spans="11:14" x14ac:dyDescent="0.25">
      <c r="K454" s="11">
        <f t="shared" si="28"/>
        <v>0</v>
      </c>
      <c r="L454" s="10">
        <f t="shared" si="29"/>
        <v>0</v>
      </c>
      <c r="M454" s="11">
        <f t="shared" si="30"/>
        <v>0</v>
      </c>
      <c r="N454" s="10">
        <f t="shared" si="31"/>
        <v>0</v>
      </c>
    </row>
    <row r="455" spans="11:14" x14ac:dyDescent="0.25">
      <c r="K455" s="11">
        <f t="shared" si="28"/>
        <v>0</v>
      </c>
      <c r="L455" s="10">
        <f t="shared" si="29"/>
        <v>0</v>
      </c>
      <c r="M455" s="11">
        <f t="shared" si="30"/>
        <v>0</v>
      </c>
      <c r="N455" s="10">
        <f t="shared" si="31"/>
        <v>0</v>
      </c>
    </row>
    <row r="456" spans="11:14" x14ac:dyDescent="0.25">
      <c r="K456" s="11">
        <f t="shared" si="28"/>
        <v>0</v>
      </c>
      <c r="L456" s="10">
        <f t="shared" si="29"/>
        <v>0</v>
      </c>
      <c r="M456" s="11">
        <f t="shared" si="30"/>
        <v>0</v>
      </c>
      <c r="N456" s="10">
        <f t="shared" si="31"/>
        <v>0</v>
      </c>
    </row>
    <row r="457" spans="11:14" x14ac:dyDescent="0.25">
      <c r="K457" s="11">
        <f t="shared" si="28"/>
        <v>0</v>
      </c>
      <c r="L457" s="10">
        <f t="shared" si="29"/>
        <v>0</v>
      </c>
      <c r="M457" s="11">
        <f t="shared" si="30"/>
        <v>0</v>
      </c>
      <c r="N457" s="10">
        <f t="shared" si="31"/>
        <v>0</v>
      </c>
    </row>
    <row r="458" spans="11:14" x14ac:dyDescent="0.25">
      <c r="K458" s="11">
        <f t="shared" ref="K458:K500" si="32">IF(D458&gt;0,IF(G458&gt;0,((D458*E458)+F458)*G458,(D458*E458)+F458),0)</f>
        <v>0</v>
      </c>
      <c r="L458" s="10">
        <f t="shared" ref="L458:L500" si="33">IF(H458&gt;0,IF(J458&gt;0,((D458*H458)-I458)*J458,(D458*H458)-I458),0)</f>
        <v>0</v>
      </c>
      <c r="M458" s="11">
        <f t="shared" ref="M458:M500" si="34">IF(H458&gt;0,L458-K458,0)</f>
        <v>0</v>
      </c>
      <c r="N458" s="10">
        <f t="shared" ref="N458:N500" si="35">IF(H458&gt;0,H458-E458,0)</f>
        <v>0</v>
      </c>
    </row>
    <row r="459" spans="11:14" x14ac:dyDescent="0.25">
      <c r="K459" s="11">
        <f t="shared" si="32"/>
        <v>0</v>
      </c>
      <c r="L459" s="10">
        <f t="shared" si="33"/>
        <v>0</v>
      </c>
      <c r="M459" s="11">
        <f t="shared" si="34"/>
        <v>0</v>
      </c>
      <c r="N459" s="10">
        <f t="shared" si="35"/>
        <v>0</v>
      </c>
    </row>
    <row r="460" spans="11:14" x14ac:dyDescent="0.25">
      <c r="K460" s="11">
        <f t="shared" si="32"/>
        <v>0</v>
      </c>
      <c r="L460" s="10">
        <f t="shared" si="33"/>
        <v>0</v>
      </c>
      <c r="M460" s="11">
        <f t="shared" si="34"/>
        <v>0</v>
      </c>
      <c r="N460" s="10">
        <f t="shared" si="35"/>
        <v>0</v>
      </c>
    </row>
    <row r="461" spans="11:14" x14ac:dyDescent="0.25">
      <c r="K461" s="11">
        <f t="shared" si="32"/>
        <v>0</v>
      </c>
      <c r="L461" s="10">
        <f t="shared" si="33"/>
        <v>0</v>
      </c>
      <c r="M461" s="11">
        <f t="shared" si="34"/>
        <v>0</v>
      </c>
      <c r="N461" s="10">
        <f t="shared" si="35"/>
        <v>0</v>
      </c>
    </row>
    <row r="462" spans="11:14" x14ac:dyDescent="0.25">
      <c r="K462" s="11">
        <f t="shared" si="32"/>
        <v>0</v>
      </c>
      <c r="L462" s="10">
        <f t="shared" si="33"/>
        <v>0</v>
      </c>
      <c r="M462" s="11">
        <f t="shared" si="34"/>
        <v>0</v>
      </c>
      <c r="N462" s="10">
        <f t="shared" si="35"/>
        <v>0</v>
      </c>
    </row>
    <row r="463" spans="11:14" x14ac:dyDescent="0.25">
      <c r="K463" s="11">
        <f t="shared" si="32"/>
        <v>0</v>
      </c>
      <c r="L463" s="10">
        <f t="shared" si="33"/>
        <v>0</v>
      </c>
      <c r="M463" s="11">
        <f t="shared" si="34"/>
        <v>0</v>
      </c>
      <c r="N463" s="10">
        <f t="shared" si="35"/>
        <v>0</v>
      </c>
    </row>
    <row r="464" spans="11:14" x14ac:dyDescent="0.25">
      <c r="K464" s="11">
        <f t="shared" si="32"/>
        <v>0</v>
      </c>
      <c r="L464" s="10">
        <f t="shared" si="33"/>
        <v>0</v>
      </c>
      <c r="M464" s="11">
        <f t="shared" si="34"/>
        <v>0</v>
      </c>
      <c r="N464" s="10">
        <f t="shared" si="35"/>
        <v>0</v>
      </c>
    </row>
    <row r="465" spans="11:14" x14ac:dyDescent="0.25">
      <c r="K465" s="11">
        <f t="shared" si="32"/>
        <v>0</v>
      </c>
      <c r="L465" s="10">
        <f t="shared" si="33"/>
        <v>0</v>
      </c>
      <c r="M465" s="11">
        <f t="shared" si="34"/>
        <v>0</v>
      </c>
      <c r="N465" s="10">
        <f t="shared" si="35"/>
        <v>0</v>
      </c>
    </row>
    <row r="466" spans="11:14" x14ac:dyDescent="0.25">
      <c r="K466" s="11">
        <f t="shared" si="32"/>
        <v>0</v>
      </c>
      <c r="L466" s="10">
        <f t="shared" si="33"/>
        <v>0</v>
      </c>
      <c r="M466" s="11">
        <f t="shared" si="34"/>
        <v>0</v>
      </c>
      <c r="N466" s="10">
        <f t="shared" si="35"/>
        <v>0</v>
      </c>
    </row>
    <row r="467" spans="11:14" x14ac:dyDescent="0.25">
      <c r="K467" s="11">
        <f t="shared" si="32"/>
        <v>0</v>
      </c>
      <c r="L467" s="10">
        <f t="shared" si="33"/>
        <v>0</v>
      </c>
      <c r="M467" s="11">
        <f t="shared" si="34"/>
        <v>0</v>
      </c>
      <c r="N467" s="10">
        <f t="shared" si="35"/>
        <v>0</v>
      </c>
    </row>
    <row r="468" spans="11:14" x14ac:dyDescent="0.25">
      <c r="K468" s="11">
        <f t="shared" si="32"/>
        <v>0</v>
      </c>
      <c r="L468" s="10">
        <f t="shared" si="33"/>
        <v>0</v>
      </c>
      <c r="M468" s="11">
        <f t="shared" si="34"/>
        <v>0</v>
      </c>
      <c r="N468" s="10">
        <f t="shared" si="35"/>
        <v>0</v>
      </c>
    </row>
    <row r="469" spans="11:14" x14ac:dyDescent="0.25">
      <c r="K469" s="11">
        <f t="shared" si="32"/>
        <v>0</v>
      </c>
      <c r="L469" s="10">
        <f t="shared" si="33"/>
        <v>0</v>
      </c>
      <c r="M469" s="11">
        <f t="shared" si="34"/>
        <v>0</v>
      </c>
      <c r="N469" s="10">
        <f t="shared" si="35"/>
        <v>0</v>
      </c>
    </row>
    <row r="470" spans="11:14" x14ac:dyDescent="0.25">
      <c r="K470" s="11">
        <f t="shared" si="32"/>
        <v>0</v>
      </c>
      <c r="L470" s="10">
        <f t="shared" si="33"/>
        <v>0</v>
      </c>
      <c r="M470" s="11">
        <f t="shared" si="34"/>
        <v>0</v>
      </c>
      <c r="N470" s="10">
        <f t="shared" si="35"/>
        <v>0</v>
      </c>
    </row>
    <row r="471" spans="11:14" x14ac:dyDescent="0.25">
      <c r="K471" s="11">
        <f t="shared" si="32"/>
        <v>0</v>
      </c>
      <c r="L471" s="10">
        <f t="shared" si="33"/>
        <v>0</v>
      </c>
      <c r="M471" s="11">
        <f t="shared" si="34"/>
        <v>0</v>
      </c>
      <c r="N471" s="10">
        <f t="shared" si="35"/>
        <v>0</v>
      </c>
    </row>
    <row r="472" spans="11:14" x14ac:dyDescent="0.25">
      <c r="K472" s="11">
        <f t="shared" si="32"/>
        <v>0</v>
      </c>
      <c r="L472" s="10">
        <f t="shared" si="33"/>
        <v>0</v>
      </c>
      <c r="M472" s="11">
        <f t="shared" si="34"/>
        <v>0</v>
      </c>
      <c r="N472" s="10">
        <f t="shared" si="35"/>
        <v>0</v>
      </c>
    </row>
    <row r="473" spans="11:14" x14ac:dyDescent="0.25">
      <c r="K473" s="11">
        <f t="shared" si="32"/>
        <v>0</v>
      </c>
      <c r="L473" s="10">
        <f t="shared" si="33"/>
        <v>0</v>
      </c>
      <c r="M473" s="11">
        <f t="shared" si="34"/>
        <v>0</v>
      </c>
      <c r="N473" s="10">
        <f t="shared" si="35"/>
        <v>0</v>
      </c>
    </row>
    <row r="474" spans="11:14" x14ac:dyDescent="0.25">
      <c r="K474" s="11">
        <f t="shared" si="32"/>
        <v>0</v>
      </c>
      <c r="L474" s="10">
        <f t="shared" si="33"/>
        <v>0</v>
      </c>
      <c r="M474" s="11">
        <f t="shared" si="34"/>
        <v>0</v>
      </c>
      <c r="N474" s="10">
        <f t="shared" si="35"/>
        <v>0</v>
      </c>
    </row>
    <row r="475" spans="11:14" x14ac:dyDescent="0.25">
      <c r="K475" s="11">
        <f t="shared" si="32"/>
        <v>0</v>
      </c>
      <c r="L475" s="10">
        <f t="shared" si="33"/>
        <v>0</v>
      </c>
      <c r="M475" s="11">
        <f t="shared" si="34"/>
        <v>0</v>
      </c>
      <c r="N475" s="10">
        <f t="shared" si="35"/>
        <v>0</v>
      </c>
    </row>
    <row r="476" spans="11:14" x14ac:dyDescent="0.25">
      <c r="K476" s="11">
        <f t="shared" si="32"/>
        <v>0</v>
      </c>
      <c r="L476" s="10">
        <f t="shared" si="33"/>
        <v>0</v>
      </c>
      <c r="M476" s="11">
        <f t="shared" si="34"/>
        <v>0</v>
      </c>
      <c r="N476" s="10">
        <f t="shared" si="35"/>
        <v>0</v>
      </c>
    </row>
    <row r="477" spans="11:14" x14ac:dyDescent="0.25">
      <c r="K477" s="11">
        <f t="shared" si="32"/>
        <v>0</v>
      </c>
      <c r="L477" s="10">
        <f t="shared" si="33"/>
        <v>0</v>
      </c>
      <c r="M477" s="11">
        <f t="shared" si="34"/>
        <v>0</v>
      </c>
      <c r="N477" s="10">
        <f t="shared" si="35"/>
        <v>0</v>
      </c>
    </row>
    <row r="478" spans="11:14" x14ac:dyDescent="0.25">
      <c r="K478" s="11">
        <f t="shared" si="32"/>
        <v>0</v>
      </c>
      <c r="L478" s="10">
        <f t="shared" si="33"/>
        <v>0</v>
      </c>
      <c r="M478" s="11">
        <f t="shared" si="34"/>
        <v>0</v>
      </c>
      <c r="N478" s="10">
        <f t="shared" si="35"/>
        <v>0</v>
      </c>
    </row>
    <row r="479" spans="11:14" x14ac:dyDescent="0.25">
      <c r="K479" s="11">
        <f t="shared" si="32"/>
        <v>0</v>
      </c>
      <c r="L479" s="10">
        <f t="shared" si="33"/>
        <v>0</v>
      </c>
      <c r="M479" s="11">
        <f t="shared" si="34"/>
        <v>0</v>
      </c>
      <c r="N479" s="10">
        <f t="shared" si="35"/>
        <v>0</v>
      </c>
    </row>
    <row r="480" spans="11:14" x14ac:dyDescent="0.25">
      <c r="K480" s="11">
        <f t="shared" si="32"/>
        <v>0</v>
      </c>
      <c r="L480" s="10">
        <f t="shared" si="33"/>
        <v>0</v>
      </c>
      <c r="M480" s="11">
        <f t="shared" si="34"/>
        <v>0</v>
      </c>
      <c r="N480" s="10">
        <f t="shared" si="35"/>
        <v>0</v>
      </c>
    </row>
    <row r="481" spans="11:14" x14ac:dyDescent="0.25">
      <c r="K481" s="11">
        <f t="shared" si="32"/>
        <v>0</v>
      </c>
      <c r="L481" s="10">
        <f t="shared" si="33"/>
        <v>0</v>
      </c>
      <c r="M481" s="11">
        <f t="shared" si="34"/>
        <v>0</v>
      </c>
      <c r="N481" s="10">
        <f t="shared" si="35"/>
        <v>0</v>
      </c>
    </row>
    <row r="482" spans="11:14" x14ac:dyDescent="0.25">
      <c r="K482" s="11">
        <f t="shared" si="32"/>
        <v>0</v>
      </c>
      <c r="L482" s="10">
        <f t="shared" si="33"/>
        <v>0</v>
      </c>
      <c r="M482" s="11">
        <f t="shared" si="34"/>
        <v>0</v>
      </c>
      <c r="N482" s="10">
        <f t="shared" si="35"/>
        <v>0</v>
      </c>
    </row>
    <row r="483" spans="11:14" x14ac:dyDescent="0.25">
      <c r="K483" s="11">
        <f t="shared" si="32"/>
        <v>0</v>
      </c>
      <c r="L483" s="10">
        <f t="shared" si="33"/>
        <v>0</v>
      </c>
      <c r="M483" s="11">
        <f t="shared" si="34"/>
        <v>0</v>
      </c>
      <c r="N483" s="10">
        <f t="shared" si="35"/>
        <v>0</v>
      </c>
    </row>
    <row r="484" spans="11:14" x14ac:dyDescent="0.25">
      <c r="K484" s="11">
        <f t="shared" si="32"/>
        <v>0</v>
      </c>
      <c r="L484" s="10">
        <f t="shared" si="33"/>
        <v>0</v>
      </c>
      <c r="M484" s="11">
        <f t="shared" si="34"/>
        <v>0</v>
      </c>
      <c r="N484" s="10">
        <f t="shared" si="35"/>
        <v>0</v>
      </c>
    </row>
    <row r="485" spans="11:14" x14ac:dyDescent="0.25">
      <c r="K485" s="11">
        <f t="shared" si="32"/>
        <v>0</v>
      </c>
      <c r="L485" s="10">
        <f t="shared" si="33"/>
        <v>0</v>
      </c>
      <c r="M485" s="11">
        <f t="shared" si="34"/>
        <v>0</v>
      </c>
      <c r="N485" s="10">
        <f t="shared" si="35"/>
        <v>0</v>
      </c>
    </row>
    <row r="486" spans="11:14" x14ac:dyDescent="0.25">
      <c r="K486" s="11">
        <f t="shared" si="32"/>
        <v>0</v>
      </c>
      <c r="L486" s="10">
        <f t="shared" si="33"/>
        <v>0</v>
      </c>
      <c r="M486" s="11">
        <f t="shared" si="34"/>
        <v>0</v>
      </c>
      <c r="N486" s="10">
        <f t="shared" si="35"/>
        <v>0</v>
      </c>
    </row>
    <row r="487" spans="11:14" x14ac:dyDescent="0.25">
      <c r="K487" s="11">
        <f t="shared" si="32"/>
        <v>0</v>
      </c>
      <c r="L487" s="10">
        <f t="shared" si="33"/>
        <v>0</v>
      </c>
      <c r="M487" s="11">
        <f t="shared" si="34"/>
        <v>0</v>
      </c>
      <c r="N487" s="10">
        <f t="shared" si="35"/>
        <v>0</v>
      </c>
    </row>
    <row r="488" spans="11:14" x14ac:dyDescent="0.25">
      <c r="K488" s="11">
        <f t="shared" si="32"/>
        <v>0</v>
      </c>
      <c r="L488" s="10">
        <f t="shared" si="33"/>
        <v>0</v>
      </c>
      <c r="M488" s="11">
        <f t="shared" si="34"/>
        <v>0</v>
      </c>
      <c r="N488" s="10">
        <f t="shared" si="35"/>
        <v>0</v>
      </c>
    </row>
    <row r="489" spans="11:14" x14ac:dyDescent="0.25">
      <c r="K489" s="11">
        <f t="shared" si="32"/>
        <v>0</v>
      </c>
      <c r="L489" s="10">
        <f t="shared" si="33"/>
        <v>0</v>
      </c>
      <c r="M489" s="11">
        <f t="shared" si="34"/>
        <v>0</v>
      </c>
      <c r="N489" s="10">
        <f t="shared" si="35"/>
        <v>0</v>
      </c>
    </row>
    <row r="490" spans="11:14" x14ac:dyDescent="0.25">
      <c r="K490" s="11">
        <f t="shared" si="32"/>
        <v>0</v>
      </c>
      <c r="L490" s="10">
        <f t="shared" si="33"/>
        <v>0</v>
      </c>
      <c r="M490" s="11">
        <f t="shared" si="34"/>
        <v>0</v>
      </c>
      <c r="N490" s="10">
        <f t="shared" si="35"/>
        <v>0</v>
      </c>
    </row>
    <row r="491" spans="11:14" x14ac:dyDescent="0.25">
      <c r="K491" s="11">
        <f t="shared" si="32"/>
        <v>0</v>
      </c>
      <c r="L491" s="10">
        <f t="shared" si="33"/>
        <v>0</v>
      </c>
      <c r="M491" s="11">
        <f t="shared" si="34"/>
        <v>0</v>
      </c>
      <c r="N491" s="10">
        <f t="shared" si="35"/>
        <v>0</v>
      </c>
    </row>
    <row r="492" spans="11:14" x14ac:dyDescent="0.25">
      <c r="K492" s="11">
        <f t="shared" si="32"/>
        <v>0</v>
      </c>
      <c r="L492" s="10">
        <f t="shared" si="33"/>
        <v>0</v>
      </c>
      <c r="M492" s="11">
        <f t="shared" si="34"/>
        <v>0</v>
      </c>
      <c r="N492" s="10">
        <f t="shared" si="35"/>
        <v>0</v>
      </c>
    </row>
    <row r="493" spans="11:14" x14ac:dyDescent="0.25">
      <c r="K493" s="11">
        <f t="shared" si="32"/>
        <v>0</v>
      </c>
      <c r="L493" s="10">
        <f t="shared" si="33"/>
        <v>0</v>
      </c>
      <c r="M493" s="11">
        <f t="shared" si="34"/>
        <v>0</v>
      </c>
      <c r="N493" s="10">
        <f t="shared" si="35"/>
        <v>0</v>
      </c>
    </row>
    <row r="494" spans="11:14" x14ac:dyDescent="0.25">
      <c r="K494" s="11">
        <f t="shared" si="32"/>
        <v>0</v>
      </c>
      <c r="L494" s="10">
        <f t="shared" si="33"/>
        <v>0</v>
      </c>
      <c r="M494" s="11">
        <f t="shared" si="34"/>
        <v>0</v>
      </c>
      <c r="N494" s="10">
        <f t="shared" si="35"/>
        <v>0</v>
      </c>
    </row>
    <row r="495" spans="11:14" x14ac:dyDescent="0.25">
      <c r="K495" s="11">
        <f t="shared" si="32"/>
        <v>0</v>
      </c>
      <c r="L495" s="10">
        <f t="shared" si="33"/>
        <v>0</v>
      </c>
      <c r="M495" s="11">
        <f t="shared" si="34"/>
        <v>0</v>
      </c>
      <c r="N495" s="10">
        <f t="shared" si="35"/>
        <v>0</v>
      </c>
    </row>
    <row r="496" spans="11:14" x14ac:dyDescent="0.25">
      <c r="K496" s="11">
        <f t="shared" si="32"/>
        <v>0</v>
      </c>
      <c r="L496" s="10">
        <f t="shared" si="33"/>
        <v>0</v>
      </c>
      <c r="M496" s="11">
        <f t="shared" si="34"/>
        <v>0</v>
      </c>
      <c r="N496" s="10">
        <f t="shared" si="35"/>
        <v>0</v>
      </c>
    </row>
    <row r="497" spans="11:14" x14ac:dyDescent="0.25">
      <c r="K497" s="11">
        <f t="shared" si="32"/>
        <v>0</v>
      </c>
      <c r="L497" s="10">
        <f t="shared" si="33"/>
        <v>0</v>
      </c>
      <c r="M497" s="11">
        <f t="shared" si="34"/>
        <v>0</v>
      </c>
      <c r="N497" s="10">
        <f t="shared" si="35"/>
        <v>0</v>
      </c>
    </row>
    <row r="498" spans="11:14" x14ac:dyDescent="0.25">
      <c r="K498" s="11">
        <f t="shared" si="32"/>
        <v>0</v>
      </c>
      <c r="L498" s="10">
        <f t="shared" si="33"/>
        <v>0</v>
      </c>
      <c r="M498" s="11">
        <f t="shared" si="34"/>
        <v>0</v>
      </c>
      <c r="N498" s="10">
        <f t="shared" si="35"/>
        <v>0</v>
      </c>
    </row>
    <row r="499" spans="11:14" x14ac:dyDescent="0.25">
      <c r="K499" s="11">
        <f t="shared" si="32"/>
        <v>0</v>
      </c>
      <c r="L499" s="10">
        <f t="shared" si="33"/>
        <v>0</v>
      </c>
      <c r="M499" s="11">
        <f t="shared" si="34"/>
        <v>0</v>
      </c>
      <c r="N499" s="10">
        <f t="shared" si="35"/>
        <v>0</v>
      </c>
    </row>
    <row r="500" spans="11:14" x14ac:dyDescent="0.25">
      <c r="K500" s="11">
        <f t="shared" si="32"/>
        <v>0</v>
      </c>
      <c r="L500" s="10">
        <f t="shared" si="33"/>
        <v>0</v>
      </c>
      <c r="M500" s="11">
        <f t="shared" si="34"/>
        <v>0</v>
      </c>
      <c r="N500" s="10">
        <f t="shared" si="35"/>
        <v>0</v>
      </c>
    </row>
  </sheetData>
  <mergeCells count="2">
    <mergeCell ref="E4:G4"/>
    <mergeCell ref="H4:J4"/>
  </mergeCells>
  <dataValidations count="1">
    <dataValidation type="list" allowBlank="1" showInputMessage="1" showErrorMessage="1" sqref="B1:B1048576">
      <formula1>AccountType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H4" sqref="H4"/>
    </sheetView>
  </sheetViews>
  <sheetFormatPr defaultRowHeight="15" x14ac:dyDescent="0.25"/>
  <cols>
    <col min="1" max="1" width="8" style="1" bestFit="1" customWidth="1"/>
    <col min="2" max="2" width="11.5703125" style="8" bestFit="1" customWidth="1"/>
    <col min="3" max="3" width="10" bestFit="1" customWidth="1"/>
    <col min="4" max="4" width="14.42578125" bestFit="1" customWidth="1"/>
    <col min="5" max="5" width="7.7109375" bestFit="1" customWidth="1"/>
    <col min="6" max="6" width="13.28515625" bestFit="1" customWidth="1"/>
    <col min="7" max="7" width="11.5703125" bestFit="1" customWidth="1"/>
    <col min="8" max="8" width="12.5703125" style="1" bestFit="1" customWidth="1"/>
    <col min="9" max="11" width="11.5703125" bestFit="1" customWidth="1"/>
    <col min="12" max="12" width="11.5703125" customWidth="1"/>
    <col min="13" max="15" width="19.140625" bestFit="1" customWidth="1"/>
  </cols>
  <sheetData>
    <row r="1" spans="1:15" x14ac:dyDescent="0.25">
      <c r="A1" s="7" t="s">
        <v>11</v>
      </c>
      <c r="B1" s="9" t="s">
        <v>16</v>
      </c>
      <c r="C1" s="5" t="s">
        <v>13</v>
      </c>
      <c r="D1" s="5" t="s">
        <v>14</v>
      </c>
      <c r="E1" s="5" t="s">
        <v>12</v>
      </c>
      <c r="F1" s="5" t="s">
        <v>15</v>
      </c>
      <c r="G1" s="5" t="s">
        <v>17</v>
      </c>
      <c r="H1" s="7" t="s">
        <v>20</v>
      </c>
      <c r="I1" s="5" t="s">
        <v>18</v>
      </c>
      <c r="J1" s="5" t="s">
        <v>19</v>
      </c>
      <c r="K1" s="5" t="s">
        <v>24</v>
      </c>
      <c r="L1" s="5" t="s">
        <v>25</v>
      </c>
      <c r="M1" s="5" t="s">
        <v>21</v>
      </c>
      <c r="N1" s="5" t="s">
        <v>22</v>
      </c>
      <c r="O1" s="5" t="s">
        <v>23</v>
      </c>
    </row>
    <row r="2" spans="1:15" x14ac:dyDescent="0.25">
      <c r="A2" s="1">
        <v>75</v>
      </c>
      <c r="B2" s="8">
        <v>8</v>
      </c>
      <c r="C2">
        <v>365</v>
      </c>
      <c r="D2">
        <v>104</v>
      </c>
      <c r="E2">
        <v>9</v>
      </c>
      <c r="F2">
        <f>C2-(D2+E2)</f>
        <v>252</v>
      </c>
      <c r="G2" s="2">
        <f>H2/12</f>
        <v>12600</v>
      </c>
      <c r="H2" s="1">
        <f>(F2*B2)*A2</f>
        <v>151200</v>
      </c>
      <c r="I2" s="2">
        <f>H2/2</f>
        <v>75600</v>
      </c>
      <c r="J2" s="2">
        <f>H2/4</f>
        <v>37800</v>
      </c>
      <c r="K2" s="2">
        <f>H2/3</f>
        <v>50400</v>
      </c>
      <c r="L2" s="2"/>
      <c r="M2">
        <f>(10*2)*F2</f>
        <v>5040</v>
      </c>
      <c r="N2">
        <f>M2/2</f>
        <v>2520</v>
      </c>
      <c r="O2">
        <f>M2/4</f>
        <v>1260</v>
      </c>
    </row>
    <row r="3" spans="1:15" x14ac:dyDescent="0.25">
      <c r="A3" s="1">
        <v>75</v>
      </c>
      <c r="B3" s="8">
        <v>7.25</v>
      </c>
      <c r="C3">
        <v>365</v>
      </c>
      <c r="D3">
        <v>104</v>
      </c>
      <c r="E3">
        <v>9</v>
      </c>
      <c r="F3">
        <f>C3-(D3+E3)</f>
        <v>252</v>
      </c>
      <c r="G3" s="2">
        <f>H3/12</f>
        <v>11418.75</v>
      </c>
      <c r="H3" s="1">
        <f>(F3*B3)*A3</f>
        <v>137025</v>
      </c>
      <c r="I3" s="2">
        <f>H3/2</f>
        <v>68512.5</v>
      </c>
      <c r="J3" s="2">
        <f>H3/4</f>
        <v>34256.25</v>
      </c>
      <c r="K3" s="2">
        <f>H3/3</f>
        <v>45675</v>
      </c>
      <c r="L3" s="2"/>
      <c r="M3">
        <f>(10*2)*F3</f>
        <v>5040</v>
      </c>
      <c r="N3">
        <f>M3/2</f>
        <v>2520</v>
      </c>
      <c r="O3">
        <f>M3/4</f>
        <v>1260</v>
      </c>
    </row>
    <row r="4" spans="1:15" x14ac:dyDescent="0.25">
      <c r="A4" s="1">
        <v>80</v>
      </c>
      <c r="B4" s="8">
        <v>7.25</v>
      </c>
      <c r="C4">
        <v>365</v>
      </c>
      <c r="D4">
        <v>104</v>
      </c>
      <c r="E4">
        <v>9</v>
      </c>
      <c r="F4">
        <f>C4-(D4+E4)</f>
        <v>252</v>
      </c>
      <c r="G4" s="2">
        <f>H4/12</f>
        <v>12180</v>
      </c>
      <c r="H4" s="1">
        <f>(F4*B4)*A4</f>
        <v>146160</v>
      </c>
      <c r="I4" s="2">
        <f>H4/2</f>
        <v>73080</v>
      </c>
      <c r="J4" s="2">
        <f>H4/4</f>
        <v>36540</v>
      </c>
      <c r="K4" s="2">
        <f>H4/3</f>
        <v>48720</v>
      </c>
      <c r="L4" s="2"/>
      <c r="M4">
        <f>(10*2)*F4</f>
        <v>5040</v>
      </c>
      <c r="N4">
        <f>M4/2</f>
        <v>2520</v>
      </c>
      <c r="O4">
        <f>M4/4</f>
        <v>1260</v>
      </c>
    </row>
    <row r="8" spans="1:15" x14ac:dyDescent="0.25">
      <c r="M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18" sqref="C18"/>
    </sheetView>
  </sheetViews>
  <sheetFormatPr defaultRowHeight="15" x14ac:dyDescent="0.25"/>
  <cols>
    <col min="1" max="1" width="15" bestFit="1" customWidth="1"/>
    <col min="2" max="2" width="13.42578125" bestFit="1" customWidth="1"/>
  </cols>
  <sheetData>
    <row r="1" spans="1:2" x14ac:dyDescent="0.25">
      <c r="A1" s="14" t="s">
        <v>37</v>
      </c>
      <c r="B1" s="16">
        <v>-5000</v>
      </c>
    </row>
    <row r="2" spans="1:2" x14ac:dyDescent="0.25">
      <c r="A2" s="14" t="s">
        <v>38</v>
      </c>
      <c r="B2" s="16">
        <v>-2030.1</v>
      </c>
    </row>
    <row r="3" spans="1:2" x14ac:dyDescent="0.25">
      <c r="A3" s="3" t="s">
        <v>39</v>
      </c>
      <c r="B3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18" sqref="D18"/>
    </sheetView>
  </sheetViews>
  <sheetFormatPr defaultRowHeight="15" x14ac:dyDescent="0.25"/>
  <cols>
    <col min="1" max="1" width="11.28515625" bestFit="1" customWidth="1"/>
  </cols>
  <sheetData>
    <row r="1" spans="1:1" x14ac:dyDescent="0.25">
      <c r="A1" s="5" t="s">
        <v>44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45</v>
      </c>
    </row>
    <row r="5" spans="1:1" x14ac:dyDescent="0.25">
      <c r="A5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Extrem Trading</vt:lpstr>
      <vt:lpstr>Job Rate</vt:lpstr>
      <vt:lpstr>Loss</vt:lpstr>
      <vt:lpstr>DB</vt:lpstr>
      <vt:lpstr>Transfar</vt:lpstr>
      <vt:lpstr>AccountType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2015-02-02T22:42:13Z</dcterms:modified>
</cp:coreProperties>
</file>