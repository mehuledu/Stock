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0" windowWidth="19215" windowHeight="1170" tabRatio="574"/>
  </bookViews>
  <sheets>
    <sheet name="Extrem Trading" sheetId="5" r:id="rId1"/>
    <sheet name="iTrade" sheetId="6" r:id="rId2"/>
    <sheet name="Job Rate" sheetId="3" r:id="rId3"/>
    <sheet name="Average" sheetId="9" r:id="rId4"/>
    <sheet name="DB" sheetId="8" r:id="rId5"/>
    <sheet name="Transfar" sheetId="10" r:id="rId6"/>
  </sheets>
  <definedNames>
    <definedName name="_xlnm._FilterDatabase" localSheetId="0" hidden="1">'Extrem Trading'!$A$1:$M$271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I139" i="5" l="1"/>
  <c r="L150" i="5"/>
  <c r="F2" i="9" l="1"/>
  <c r="E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" i="9"/>
  <c r="G2" i="9" l="1"/>
  <c r="G250" i="5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J142" i="5"/>
  <c r="G143" i="5"/>
  <c r="H143" i="5"/>
  <c r="J143" i="5"/>
  <c r="G144" i="5"/>
  <c r="H144" i="5"/>
  <c r="I144" i="5"/>
  <c r="J144" i="5"/>
  <c r="G145" i="5"/>
  <c r="H145" i="5"/>
  <c r="I145" i="5" s="1"/>
  <c r="J145" i="5"/>
  <c r="G146" i="5"/>
  <c r="H146" i="5"/>
  <c r="I146" i="5" s="1"/>
  <c r="J146" i="5"/>
  <c r="G147" i="5"/>
  <c r="H147" i="5"/>
  <c r="I147" i="5" s="1"/>
  <c r="J147" i="5"/>
  <c r="G148" i="5"/>
  <c r="H148" i="5"/>
  <c r="I148" i="5"/>
  <c r="J148" i="5"/>
  <c r="G149" i="5"/>
  <c r="H149" i="5"/>
  <c r="I149" i="5" s="1"/>
  <c r="J149" i="5"/>
  <c r="G150" i="5"/>
  <c r="H150" i="5"/>
  <c r="I150" i="5"/>
  <c r="J150" i="5"/>
  <c r="G151" i="5"/>
  <c r="H151" i="5"/>
  <c r="I151" i="5"/>
  <c r="J151" i="5"/>
  <c r="G152" i="5"/>
  <c r="H152" i="5"/>
  <c r="I152" i="5" s="1"/>
  <c r="J152" i="5"/>
  <c r="G153" i="5"/>
  <c r="H153" i="5"/>
  <c r="I153" i="5" s="1"/>
  <c r="J153" i="5"/>
  <c r="G154" i="5"/>
  <c r="H154" i="5"/>
  <c r="I154" i="5" s="1"/>
  <c r="J154" i="5"/>
  <c r="G155" i="5"/>
  <c r="H155" i="5"/>
  <c r="I155" i="5" s="1"/>
  <c r="J155" i="5"/>
  <c r="G156" i="5"/>
  <c r="H156" i="5"/>
  <c r="I156" i="5" s="1"/>
  <c r="J156" i="5"/>
  <c r="G157" i="5"/>
  <c r="H157" i="5"/>
  <c r="I157" i="5" s="1"/>
  <c r="J157" i="5"/>
  <c r="G158" i="5"/>
  <c r="H158" i="5"/>
  <c r="I158" i="5" s="1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 s="1"/>
  <c r="J163" i="5"/>
  <c r="G164" i="5"/>
  <c r="H164" i="5"/>
  <c r="I164" i="5" s="1"/>
  <c r="J164" i="5"/>
  <c r="G165" i="5"/>
  <c r="H165" i="5"/>
  <c r="I165" i="5" s="1"/>
  <c r="L158" i="5" s="1"/>
  <c r="J165" i="5"/>
  <c r="G166" i="5"/>
  <c r="H166" i="5"/>
  <c r="I166" i="5"/>
  <c r="J166" i="5"/>
  <c r="G167" i="5"/>
  <c r="H167" i="5"/>
  <c r="I167" i="5" s="1"/>
  <c r="J167" i="5"/>
  <c r="G168" i="5"/>
  <c r="H168" i="5"/>
  <c r="I168" i="5"/>
  <c r="J168" i="5"/>
  <c r="G169" i="5"/>
  <c r="I169" i="5" s="1"/>
  <c r="H169" i="5"/>
  <c r="J169" i="5"/>
  <c r="G170" i="5"/>
  <c r="H170" i="5"/>
  <c r="J170" i="5"/>
  <c r="G171" i="5"/>
  <c r="H171" i="5"/>
  <c r="I171" i="5"/>
  <c r="J171" i="5"/>
  <c r="G172" i="5"/>
  <c r="H172" i="5"/>
  <c r="I172" i="5" s="1"/>
  <c r="J172" i="5"/>
  <c r="G173" i="5"/>
  <c r="H173" i="5"/>
  <c r="I173" i="5" s="1"/>
  <c r="J173" i="5"/>
  <c r="G174" i="5"/>
  <c r="H174" i="5"/>
  <c r="I174" i="5"/>
  <c r="J174" i="5"/>
  <c r="G175" i="5"/>
  <c r="H175" i="5"/>
  <c r="I175" i="5"/>
  <c r="J175" i="5"/>
  <c r="G176" i="5"/>
  <c r="H176" i="5"/>
  <c r="J176" i="5"/>
  <c r="G177" i="5"/>
  <c r="H177" i="5"/>
  <c r="I177" i="5"/>
  <c r="J177" i="5"/>
  <c r="G178" i="5"/>
  <c r="H178" i="5"/>
  <c r="I178" i="5"/>
  <c r="J178" i="5"/>
  <c r="G179" i="5"/>
  <c r="H179" i="5"/>
  <c r="I179" i="5"/>
  <c r="J179" i="5"/>
  <c r="G180" i="5"/>
  <c r="H180" i="5"/>
  <c r="I180" i="5"/>
  <c r="J180" i="5"/>
  <c r="G181" i="5"/>
  <c r="H181" i="5"/>
  <c r="I181" i="5"/>
  <c r="J181" i="5"/>
  <c r="G182" i="5"/>
  <c r="H182" i="5"/>
  <c r="I182" i="5"/>
  <c r="J182" i="5"/>
  <c r="G183" i="5"/>
  <c r="H183" i="5"/>
  <c r="I183" i="5"/>
  <c r="J183" i="5"/>
  <c r="G184" i="5"/>
  <c r="H184" i="5"/>
  <c r="I184" i="5"/>
  <c r="J184" i="5"/>
  <c r="G185" i="5"/>
  <c r="H185" i="5"/>
  <c r="I185" i="5"/>
  <c r="J185" i="5"/>
  <c r="G186" i="5"/>
  <c r="H186" i="5"/>
  <c r="I186" i="5"/>
  <c r="J186" i="5"/>
  <c r="G187" i="5"/>
  <c r="H187" i="5"/>
  <c r="I187" i="5"/>
  <c r="J187" i="5"/>
  <c r="G188" i="5"/>
  <c r="H188" i="5"/>
  <c r="I188" i="5"/>
  <c r="J188" i="5"/>
  <c r="G189" i="5"/>
  <c r="H189" i="5"/>
  <c r="I189" i="5"/>
  <c r="J189" i="5"/>
  <c r="G190" i="5"/>
  <c r="H190" i="5"/>
  <c r="I190" i="5"/>
  <c r="J190" i="5"/>
  <c r="G191" i="5"/>
  <c r="H191" i="5"/>
  <c r="I191" i="5"/>
  <c r="J191" i="5"/>
  <c r="G192" i="5"/>
  <c r="H192" i="5"/>
  <c r="I192" i="5"/>
  <c r="J192" i="5"/>
  <c r="G193" i="5"/>
  <c r="H193" i="5"/>
  <c r="I193" i="5"/>
  <c r="J193" i="5"/>
  <c r="G194" i="5"/>
  <c r="H194" i="5"/>
  <c r="I194" i="5"/>
  <c r="J194" i="5"/>
  <c r="G195" i="5"/>
  <c r="H195" i="5"/>
  <c r="I195" i="5"/>
  <c r="J195" i="5"/>
  <c r="G196" i="5"/>
  <c r="H196" i="5"/>
  <c r="I196" i="5"/>
  <c r="J196" i="5"/>
  <c r="G197" i="5"/>
  <c r="H197" i="5"/>
  <c r="I197" i="5"/>
  <c r="J197" i="5"/>
  <c r="G198" i="5"/>
  <c r="H198" i="5"/>
  <c r="I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I176" i="5" l="1"/>
  <c r="I170" i="5"/>
  <c r="L142" i="5"/>
  <c r="L146" i="5"/>
  <c r="I143" i="5"/>
  <c r="I100" i="5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L137" i="5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</calcChain>
</file>

<file path=xl/sharedStrings.xml><?xml version="1.0" encoding="utf-8"?>
<sst xmlns="http://schemas.openxmlformats.org/spreadsheetml/2006/main" count="250" uniqueCount="55">
  <si>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</si>
  <si>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</si>
  <si>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</si>
  <si>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</si>
  <si>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</si>
  <si>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</si>
  <si>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</si>
  <si>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</si>
  <si>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</si>
  <si>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</si>
  <si>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</si>
  <si>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</si>
  <si>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</si>
  <si>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</si>
  <si>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</si>
  <si>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</si>
  <si>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</si>
  <si>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</si>
  <si>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</si>
  <si>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</si>
  <si>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</si>
  <si>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</si>
  <si>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</si>
  <si>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</si>
  <si>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</si>
  <si>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</si>
  <si>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</si>
  <si>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</si>
  <si>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</si>
  <si>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</si>
  <si>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</si>
  <si>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</si>
  <si>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</si>
  <si>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</si>
  <si>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</si>
  <si>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</si>
  <si>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</si>
  <si>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</si>
  <si>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</si>
  <si>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</si>
  <si>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</si>
  <si>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</si>
  <si>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</si>
  <si>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</si>
  <si>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</si>
  <si>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</si>
  <si>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</si>
  <si>
    <t>Qty</t>
  </si>
  <si>
    <t>Price</t>
  </si>
  <si>
    <t>Cost</t>
  </si>
  <si>
    <t>Total Cost</t>
  </si>
  <si>
    <t>Avg. Price</t>
  </si>
  <si>
    <t>AccoutType</t>
  </si>
  <si>
    <t>F/X</t>
  </si>
  <si>
    <t>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</si>
</sst>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3" borderId="0" xfId="0" applyNumberFormat="1" applyFill="1"/>
    <xf numFmtId="16" fontId="0" fillId="3" borderId="0" xfId="0" applyNumberFormat="1" applyFill="1"/>
    <xf numFmtId="44" fontId="0" fillId="3" borderId="0" xfId="1" applyFont="1" applyFill="1"/>
    <xf numFmtId="0" fontId="0" fillId="3" borderId="0" xfId="0" applyFill="1"/>
    <xf numFmtId="16" fontId="6" fillId="3" borderId="0" xfId="0" applyNumberFormat="1" applyFont="1" applyFill="1"/>
    <xf numFmtId="44" fontId="6" fillId="3" borderId="0" xfId="1" applyFont="1" applyFill="1"/>
    <xf numFmtId="44" fontId="6" fillId="3" borderId="0" xfId="0" applyNumberFormat="1" applyFont="1" applyFill="1"/>
    <xf numFmtId="0" fontId="6" fillId="3" borderId="0" xfId="0" applyFon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3" borderId="3" xfId="1" applyNumberFormat="1" applyFont="1" applyFill="1" applyBorder="1"/>
    <xf numFmtId="44" fontId="0" fillId="3" borderId="1" xfId="1" applyNumberFormat="1" applyFont="1" applyFill="1" applyBorder="1"/>
    <xf numFmtId="44" fontId="6" fillId="3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5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0" fontId="0" fillId="0" borderId="2" xfId="0" applyBorder="1"/>
    <xf numFmtId="0" fontId="5" fillId="4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3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4" borderId="0" xfId="0" applyFont="1" applyFill="1" applyBorder="1"/>
    <xf numFmtId="0" fontId="0" fillId="4" borderId="2" xfId="0" applyFont="1" applyFill="1" applyBorder="1"/>
    <xf numFmtId="0" fontId="0" fillId="0" borderId="0" xfId="0" applyFont="1"/>
    <xf numFmtId="0" fontId="0" fillId="6" borderId="0" xfId="0" applyFill="1"/>
    <xf numFmtId="44" fontId="0" fillId="7" borderId="0" xfId="0" applyNumberFormat="1" applyFill="1"/>
    <xf numFmtId="0" fontId="2" fillId="6" borderId="0" xfId="0" applyFont="1" applyFill="1" applyAlignment="1">
      <alignment horizontal="right"/>
    </xf>
    <xf numFmtId="44" fontId="2" fillId="6" borderId="0" xfId="1" applyFont="1" applyFill="1" applyAlignment="1">
      <alignment horizontal="right"/>
    </xf>
    <xf numFmtId="0" fontId="2" fillId="0" borderId="0" xfId="0" applyFont="1" applyAlignment="1">
      <alignment horizontal="right"/>
    </xf>
    <xf numFmtId="0" fontId="0" fillId="8" borderId="0" xfId="0" applyFont="1" applyFill="1" applyBorder="1"/>
    <xf numFmtId="0" fontId="0" fillId="8" borderId="2" xfId="0" applyFont="1" applyFill="1" applyBorder="1"/>
    <xf numFmtId="0" fontId="0" fillId="9" borderId="0" xfId="0" applyFont="1" applyFill="1" applyBorder="1"/>
    <xf numFmtId="164" fontId="4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164" fontId="0" fillId="3" borderId="0" xfId="1" applyNumberFormat="1" applyFont="1" applyFill="1"/>
    <xf numFmtId="164" fontId="6" fillId="3" borderId="0" xfId="1" applyNumberFormat="1" applyFont="1" applyFill="1"/>
    <xf numFmtId="164" fontId="0" fillId="0" borderId="2" xfId="1" applyNumberFormat="1" applyFont="1" applyBorder="1"/>
    <xf numFmtId="164" fontId="5" fillId="0" borderId="0" xfId="1" applyNumberFormat="1" applyFont="1" applyFill="1"/>
    <xf numFmtId="164" fontId="0" fillId="0" borderId="0" xfId="1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1"/>
  <sheetViews>
    <sheetView tabSelected="1" workbookViewId="0">
      <pane xSplit="13" ySplit="5" topLeftCell="N159" activePane="bottomRight" state="frozen"/>
      <selection pane="topRight" activeCell="Q1" sqref="Q1"/>
      <selection pane="bottomLeft" activeCell="A3" sqref="A3"/>
      <selection pane="bottomRight" activeCell="I175" sqref="I175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66" bestFit="1" customWidth="1"/>
    <col min="4" max="4" width="5" style="66" bestFit="1" customWidth="1"/>
    <col min="5" max="5" width="10" style="45" bestFit="1" customWidth="1"/>
    <col min="6" max="6" width="10.5703125" style="45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10" bestFit="1" customWidth="1"/>
    <col min="14" max="14" width="11.28515625" bestFit="1" customWidth="1"/>
  </cols>
  <sheetData>
    <row r="1" spans="1:13" x14ac:dyDescent="0.25">
      <c r="A1" s="4"/>
      <c r="B1" s="4"/>
      <c r="C1" s="58"/>
      <c r="D1" s="58"/>
      <c r="E1" s="36"/>
      <c r="F1" s="36"/>
      <c r="G1" s="4"/>
      <c r="H1" s="4"/>
      <c r="I1" s="5"/>
      <c r="J1" s="4"/>
      <c r="K1" s="4"/>
      <c r="L1" s="35" t="s">
        <v>39</v>
      </c>
      <c r="M1" s="75">
        <v>-5000</v>
      </c>
    </row>
    <row r="2" spans="1:13" x14ac:dyDescent="0.25">
      <c r="A2" s="4"/>
      <c r="B2" s="4"/>
      <c r="C2" s="58"/>
      <c r="D2" s="58"/>
      <c r="E2" s="36"/>
      <c r="F2" s="36"/>
      <c r="G2" s="4"/>
      <c r="H2" s="4"/>
      <c r="I2" s="5"/>
      <c r="J2" s="4"/>
      <c r="K2" s="4"/>
      <c r="L2" s="35" t="s">
        <v>40</v>
      </c>
      <c r="M2" s="75">
        <v>-2030.1</v>
      </c>
    </row>
    <row r="3" spans="1:13" x14ac:dyDescent="0.25">
      <c r="A3" s="4"/>
      <c r="B3" s="4"/>
      <c r="C3" s="58"/>
      <c r="D3" s="58"/>
      <c r="E3" s="36"/>
      <c r="F3" s="36"/>
      <c r="G3" s="4"/>
      <c r="H3" s="4"/>
      <c r="I3" s="5"/>
      <c r="J3" s="4"/>
      <c r="K3" s="4"/>
      <c r="L3" s="4" t="s">
        <v>41</v>
      </c>
      <c r="M3" s="76"/>
    </row>
    <row r="4" spans="1:13" x14ac:dyDescent="0.25">
      <c r="A4" s="4"/>
      <c r="B4" s="4"/>
      <c r="C4" s="58"/>
      <c r="D4" s="58"/>
      <c r="E4" s="36"/>
      <c r="F4" s="36"/>
      <c r="G4" s="4"/>
      <c r="H4" s="4"/>
      <c r="I4" s="47">
        <f>SUM(I6:I271)</f>
        <v>6016.5600000000632</v>
      </c>
      <c r="J4" s="4"/>
      <c r="K4" s="4"/>
      <c r="L4" s="4"/>
      <c r="M4" s="76"/>
    </row>
    <row r="5" spans="1:13" x14ac:dyDescent="0.25">
      <c r="A5" s="4" t="s">
        <v>8</v>
      </c>
      <c r="B5" s="4" t="s">
        <v>31</v>
      </c>
      <c r="C5" s="4" t="s">
        <v>4</v>
      </c>
      <c r="D5" s="4" t="s">
        <v>5</v>
      </c>
      <c r="E5" s="37" t="s">
        <v>6</v>
      </c>
      <c r="F5" s="37" t="s">
        <v>7</v>
      </c>
      <c r="G5" s="5" t="s">
        <v>0</v>
      </c>
      <c r="H5" s="4" t="s">
        <v>1</v>
      </c>
      <c r="I5" s="5" t="s">
        <v>2</v>
      </c>
      <c r="J5" s="4" t="s">
        <v>10</v>
      </c>
      <c r="K5" s="4" t="s">
        <v>3</v>
      </c>
      <c r="L5" s="4" t="s">
        <v>46</v>
      </c>
      <c r="M5" s="76" t="s">
        <v>53</v>
      </c>
    </row>
    <row r="6" spans="1:13" s="29" customFormat="1" x14ac:dyDescent="0.25">
      <c r="A6" s="27">
        <v>41950</v>
      </c>
      <c r="B6" s="27" t="s">
        <v>32</v>
      </c>
      <c r="C6" s="59" t="s">
        <v>28</v>
      </c>
      <c r="D6" s="59">
        <v>1000</v>
      </c>
      <c r="E6" s="38">
        <v>12.9</v>
      </c>
      <c r="F6" s="38">
        <v>13.02</v>
      </c>
      <c r="G6" s="28">
        <f t="shared" ref="G6:G69" si="0">IF(D6&gt;0,(D6*E6)+K6,0)</f>
        <v>12909.99</v>
      </c>
      <c r="H6" s="26">
        <f t="shared" ref="H6:H69" si="1">IF(F6&gt;0,(D6*F6)-K6,0)</f>
        <v>13010.01</v>
      </c>
      <c r="I6" s="28">
        <f t="shared" ref="I6:I29" si="2">IF(F6&gt;0,H6-G6,0)</f>
        <v>100.02000000000044</v>
      </c>
      <c r="J6" s="26">
        <f t="shared" ref="J6:J29" si="3">IF(F6&gt;0,F6-E6,0)</f>
        <v>0.11999999999999922</v>
      </c>
      <c r="K6" s="28">
        <v>9.99</v>
      </c>
      <c r="M6" s="77"/>
    </row>
    <row r="7" spans="1:13" s="29" customFormat="1" x14ac:dyDescent="0.25">
      <c r="A7" s="27">
        <v>41950</v>
      </c>
      <c r="B7" s="27" t="s">
        <v>32</v>
      </c>
      <c r="C7" s="59" t="s">
        <v>28</v>
      </c>
      <c r="D7" s="59">
        <v>1000</v>
      </c>
      <c r="E7" s="39">
        <v>13.3</v>
      </c>
      <c r="F7" s="39"/>
      <c r="G7" s="28">
        <f t="shared" si="0"/>
        <v>13309.99</v>
      </c>
      <c r="H7" s="26">
        <f t="shared" si="1"/>
        <v>0</v>
      </c>
      <c r="I7" s="28">
        <f t="shared" si="2"/>
        <v>0</v>
      </c>
      <c r="J7" s="26">
        <f t="shared" si="3"/>
        <v>0</v>
      </c>
      <c r="K7" s="28">
        <v>9.99</v>
      </c>
      <c r="M7" s="77"/>
    </row>
    <row r="8" spans="1:13" s="33" customFormat="1" x14ac:dyDescent="0.25">
      <c r="A8" s="30">
        <v>41955</v>
      </c>
      <c r="B8" s="30" t="s">
        <v>33</v>
      </c>
      <c r="C8" s="33" t="s">
        <v>28</v>
      </c>
      <c r="D8" s="33">
        <v>1000</v>
      </c>
      <c r="E8" s="40">
        <v>12.83</v>
      </c>
      <c r="F8" s="40"/>
      <c r="G8" s="31">
        <f t="shared" si="0"/>
        <v>12839.99</v>
      </c>
      <c r="H8" s="32">
        <f t="shared" si="1"/>
        <v>0</v>
      </c>
      <c r="I8" s="31">
        <f t="shared" si="2"/>
        <v>0</v>
      </c>
      <c r="J8" s="32">
        <f t="shared" si="3"/>
        <v>0</v>
      </c>
      <c r="K8" s="31">
        <v>9.99</v>
      </c>
      <c r="M8" s="78"/>
    </row>
    <row r="9" spans="1:13" s="29" customFormat="1" x14ac:dyDescent="0.25">
      <c r="A9" s="27"/>
      <c r="B9" s="27" t="s">
        <v>34</v>
      </c>
      <c r="C9" s="59" t="s">
        <v>28</v>
      </c>
      <c r="D9" s="59">
        <v>800</v>
      </c>
      <c r="E9" s="39">
        <v>12.15</v>
      </c>
      <c r="F9" s="39"/>
      <c r="G9" s="28">
        <f t="shared" si="0"/>
        <v>9729.99</v>
      </c>
      <c r="H9" s="26">
        <f t="shared" si="1"/>
        <v>0</v>
      </c>
      <c r="I9" s="28">
        <f t="shared" si="2"/>
        <v>0</v>
      </c>
      <c r="J9" s="26">
        <f t="shared" si="3"/>
        <v>0</v>
      </c>
      <c r="K9" s="28">
        <v>9.99</v>
      </c>
      <c r="M9" s="77"/>
    </row>
    <row r="10" spans="1:13" s="29" customFormat="1" x14ac:dyDescent="0.25">
      <c r="A10" s="27">
        <v>41974</v>
      </c>
      <c r="B10" s="27"/>
      <c r="C10" s="59" t="s">
        <v>28</v>
      </c>
      <c r="D10" s="59">
        <v>1000</v>
      </c>
      <c r="E10" s="39">
        <v>12.44</v>
      </c>
      <c r="F10" s="39"/>
      <c r="G10" s="28">
        <f t="shared" si="0"/>
        <v>12444.99</v>
      </c>
      <c r="H10" s="26">
        <f t="shared" si="1"/>
        <v>0</v>
      </c>
      <c r="I10" s="28">
        <f t="shared" si="2"/>
        <v>0</v>
      </c>
      <c r="J10" s="26">
        <f t="shared" si="3"/>
        <v>0</v>
      </c>
      <c r="K10" s="28">
        <v>4.99</v>
      </c>
      <c r="M10" s="77"/>
    </row>
    <row r="11" spans="1:13" s="29" customFormat="1" x14ac:dyDescent="0.25">
      <c r="A11" s="27"/>
      <c r="B11" s="27"/>
      <c r="C11" s="59" t="s">
        <v>28</v>
      </c>
      <c r="D11" s="59">
        <v>1000</v>
      </c>
      <c r="E11" s="39">
        <v>12.42</v>
      </c>
      <c r="F11" s="39"/>
      <c r="G11" s="28">
        <f t="shared" si="0"/>
        <v>12424.99</v>
      </c>
      <c r="H11" s="26">
        <f t="shared" si="1"/>
        <v>0</v>
      </c>
      <c r="I11" s="28">
        <f t="shared" si="2"/>
        <v>0</v>
      </c>
      <c r="J11" s="26">
        <f t="shared" si="3"/>
        <v>0</v>
      </c>
      <c r="K11" s="28">
        <v>4.99</v>
      </c>
      <c r="M11" s="77"/>
    </row>
    <row r="12" spans="1:13" s="29" customFormat="1" x14ac:dyDescent="0.25">
      <c r="A12" s="27"/>
      <c r="B12" s="27"/>
      <c r="C12" s="59" t="s">
        <v>28</v>
      </c>
      <c r="D12" s="59">
        <v>1000</v>
      </c>
      <c r="E12" s="39">
        <v>11.9</v>
      </c>
      <c r="F12" s="39"/>
      <c r="G12" s="28">
        <f t="shared" si="0"/>
        <v>11904.99</v>
      </c>
      <c r="H12" s="26">
        <f t="shared" si="1"/>
        <v>0</v>
      </c>
      <c r="I12" s="28">
        <f t="shared" si="2"/>
        <v>0</v>
      </c>
      <c r="J12" s="26">
        <f t="shared" si="3"/>
        <v>0</v>
      </c>
      <c r="K12" s="28">
        <v>4.99</v>
      </c>
      <c r="M12" s="77"/>
    </row>
    <row r="13" spans="1:13" x14ac:dyDescent="0.25">
      <c r="A13" s="3">
        <v>41975</v>
      </c>
      <c r="B13" s="3"/>
      <c r="C13" s="60" t="s">
        <v>28</v>
      </c>
      <c r="D13" s="60">
        <v>1000</v>
      </c>
      <c r="E13" s="41">
        <v>9.61</v>
      </c>
      <c r="F13" s="41">
        <v>9.7100000000000009</v>
      </c>
      <c r="G13" s="1">
        <f t="shared" si="0"/>
        <v>9614.99</v>
      </c>
      <c r="H13" s="2">
        <f t="shared" si="1"/>
        <v>9705.01</v>
      </c>
      <c r="I13" s="20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60" t="s">
        <v>35</v>
      </c>
      <c r="D14" s="60">
        <v>2000</v>
      </c>
      <c r="E14" s="41">
        <v>3.78</v>
      </c>
      <c r="F14" s="41">
        <v>3.52</v>
      </c>
      <c r="G14" s="1">
        <f t="shared" si="0"/>
        <v>7564.99</v>
      </c>
      <c r="H14" s="2">
        <f t="shared" si="1"/>
        <v>7035.01</v>
      </c>
      <c r="I14" s="20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60" t="s">
        <v>35</v>
      </c>
      <c r="D15" s="60">
        <v>1000</v>
      </c>
      <c r="E15" s="41">
        <v>3.45</v>
      </c>
      <c r="F15" s="41">
        <v>3.46</v>
      </c>
      <c r="G15" s="1">
        <f t="shared" si="0"/>
        <v>3454.99</v>
      </c>
      <c r="H15" s="2">
        <f t="shared" si="1"/>
        <v>3455.01</v>
      </c>
      <c r="I15" s="20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60" t="s">
        <v>35</v>
      </c>
      <c r="D16" s="60">
        <v>1000</v>
      </c>
      <c r="E16" s="41">
        <v>3.75</v>
      </c>
      <c r="F16" s="41">
        <v>3.78</v>
      </c>
      <c r="G16" s="1">
        <f t="shared" si="0"/>
        <v>3754.99</v>
      </c>
      <c r="H16" s="2">
        <f t="shared" si="1"/>
        <v>3775.01</v>
      </c>
      <c r="I16" s="20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0" t="s">
        <v>35</v>
      </c>
      <c r="D17" s="60">
        <v>1000</v>
      </c>
      <c r="E17" s="41">
        <v>3.94</v>
      </c>
      <c r="F17" s="41">
        <v>3.99</v>
      </c>
      <c r="G17" s="1">
        <f t="shared" si="0"/>
        <v>3944.99</v>
      </c>
      <c r="H17" s="2">
        <f t="shared" si="1"/>
        <v>3985.01</v>
      </c>
      <c r="I17" s="20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0" t="s">
        <v>35</v>
      </c>
      <c r="D18" s="60">
        <v>1000</v>
      </c>
      <c r="E18" s="41">
        <v>3.98</v>
      </c>
      <c r="F18" s="41">
        <v>4.07</v>
      </c>
      <c r="G18" s="1">
        <f t="shared" si="0"/>
        <v>3984.99</v>
      </c>
      <c r="H18" s="2">
        <f t="shared" si="1"/>
        <v>4065.0100000000007</v>
      </c>
      <c r="I18" s="20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0" t="s">
        <v>36</v>
      </c>
      <c r="D19" s="60">
        <v>1000</v>
      </c>
      <c r="E19" s="41">
        <v>3.75</v>
      </c>
      <c r="F19" s="41">
        <v>3.81</v>
      </c>
      <c r="G19" s="1">
        <f t="shared" si="0"/>
        <v>3754.99</v>
      </c>
      <c r="H19" s="2">
        <f t="shared" si="1"/>
        <v>3805.01</v>
      </c>
      <c r="I19" s="20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0" t="s">
        <v>28</v>
      </c>
      <c r="D20" s="60">
        <v>1000</v>
      </c>
      <c r="E20" s="41">
        <v>8.3800000000000008</v>
      </c>
      <c r="F20" s="41">
        <v>8.44</v>
      </c>
      <c r="G20" s="1">
        <f t="shared" si="0"/>
        <v>8384.99</v>
      </c>
      <c r="H20" s="2">
        <f t="shared" si="1"/>
        <v>8435.01</v>
      </c>
      <c r="I20" s="20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0" t="s">
        <v>28</v>
      </c>
      <c r="D21" s="60">
        <v>1000</v>
      </c>
      <c r="E21" s="41">
        <v>8.33</v>
      </c>
      <c r="F21" s="41">
        <v>8.42</v>
      </c>
      <c r="G21" s="1">
        <f t="shared" si="0"/>
        <v>8334.99</v>
      </c>
      <c r="H21" s="2">
        <f t="shared" si="1"/>
        <v>8415.01</v>
      </c>
      <c r="I21" s="20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0" t="s">
        <v>36</v>
      </c>
      <c r="D22" s="60">
        <v>1500</v>
      </c>
      <c r="E22" s="41">
        <v>3.41</v>
      </c>
      <c r="F22" s="41">
        <v>3.42</v>
      </c>
      <c r="G22" s="1">
        <f t="shared" si="0"/>
        <v>5119.99</v>
      </c>
      <c r="H22" s="2">
        <f t="shared" si="1"/>
        <v>5125.01</v>
      </c>
      <c r="I22" s="20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0" t="s">
        <v>28</v>
      </c>
      <c r="D23" s="60">
        <v>1000</v>
      </c>
      <c r="E23" s="41">
        <v>8.32</v>
      </c>
      <c r="F23" s="41">
        <v>8.64</v>
      </c>
      <c r="G23" s="1">
        <f t="shared" si="0"/>
        <v>8324.99</v>
      </c>
      <c r="H23" s="2">
        <f t="shared" si="1"/>
        <v>8635.01</v>
      </c>
      <c r="I23" s="20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0" t="s">
        <v>28</v>
      </c>
      <c r="D24" s="60">
        <v>1000</v>
      </c>
      <c r="E24" s="41">
        <v>8.8800000000000008</v>
      </c>
      <c r="F24" s="41">
        <v>8.9600000000000009</v>
      </c>
      <c r="G24" s="1">
        <f t="shared" si="0"/>
        <v>8884.99</v>
      </c>
      <c r="H24" s="2">
        <f t="shared" si="1"/>
        <v>8955.01</v>
      </c>
      <c r="I24" s="20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0" t="s">
        <v>28</v>
      </c>
      <c r="D25" s="60">
        <v>1000</v>
      </c>
      <c r="E25" s="41">
        <v>8.99</v>
      </c>
      <c r="F25" s="41">
        <v>9</v>
      </c>
      <c r="G25" s="1">
        <f t="shared" si="0"/>
        <v>8994.99</v>
      </c>
      <c r="H25" s="2">
        <f t="shared" si="1"/>
        <v>8995.01</v>
      </c>
      <c r="I25" s="20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0" t="s">
        <v>28</v>
      </c>
      <c r="D26" s="60">
        <v>1000</v>
      </c>
      <c r="E26" s="41">
        <v>8.9499999999999993</v>
      </c>
      <c r="F26" s="41">
        <v>9</v>
      </c>
      <c r="G26" s="1">
        <f t="shared" si="0"/>
        <v>8954.99</v>
      </c>
      <c r="H26" s="2">
        <f t="shared" si="1"/>
        <v>8995.01</v>
      </c>
      <c r="I26" s="20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0" t="s">
        <v>30</v>
      </c>
      <c r="D27" s="60">
        <v>1000</v>
      </c>
      <c r="E27" s="41">
        <v>7.43</v>
      </c>
      <c r="F27" s="41">
        <v>7.18</v>
      </c>
      <c r="G27" s="1">
        <f t="shared" si="0"/>
        <v>7434.99</v>
      </c>
      <c r="H27" s="2">
        <f t="shared" si="1"/>
        <v>7175.01</v>
      </c>
      <c r="I27" s="20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0" t="s">
        <v>30</v>
      </c>
      <c r="D28" s="60">
        <v>1000</v>
      </c>
      <c r="E28" s="41">
        <v>7.01</v>
      </c>
      <c r="F28" s="41">
        <v>7.07</v>
      </c>
      <c r="G28" s="1">
        <f t="shared" si="0"/>
        <v>7014.99</v>
      </c>
      <c r="H28" s="2">
        <f t="shared" si="1"/>
        <v>7065.01</v>
      </c>
      <c r="I28" s="20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0" t="s">
        <v>35</v>
      </c>
      <c r="D29" s="60">
        <v>1000</v>
      </c>
      <c r="E29" s="41">
        <v>3.05</v>
      </c>
      <c r="F29" s="41">
        <v>3.12</v>
      </c>
      <c r="G29" s="1">
        <f t="shared" si="0"/>
        <v>3054.99</v>
      </c>
      <c r="H29" s="2">
        <f t="shared" si="1"/>
        <v>3115.01</v>
      </c>
      <c r="I29" s="20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0" t="s">
        <v>35</v>
      </c>
      <c r="D30" s="60">
        <v>1500</v>
      </c>
      <c r="E30" s="41">
        <v>3.07</v>
      </c>
      <c r="F30" s="41">
        <v>3.11</v>
      </c>
      <c r="G30" s="1">
        <f t="shared" si="0"/>
        <v>4609.99</v>
      </c>
      <c r="H30" s="2">
        <f t="shared" si="1"/>
        <v>4660.01</v>
      </c>
      <c r="I30" s="20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0" t="s">
        <v>30</v>
      </c>
      <c r="D31" s="60">
        <v>1000</v>
      </c>
      <c r="E31" s="41">
        <v>7.12</v>
      </c>
      <c r="F31" s="41">
        <v>7.48</v>
      </c>
      <c r="G31" s="1">
        <f t="shared" si="0"/>
        <v>7124.99</v>
      </c>
      <c r="H31" s="2">
        <f t="shared" si="1"/>
        <v>7475.01</v>
      </c>
      <c r="I31" s="20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0" t="s">
        <v>30</v>
      </c>
      <c r="D32" s="60">
        <v>1000</v>
      </c>
      <c r="E32" s="41">
        <v>7.47</v>
      </c>
      <c r="F32" s="41">
        <v>7.61</v>
      </c>
      <c r="G32" s="1">
        <f t="shared" si="0"/>
        <v>7474.99</v>
      </c>
      <c r="H32" s="2">
        <f t="shared" si="1"/>
        <v>7605.01</v>
      </c>
      <c r="I32" s="20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60" t="s">
        <v>28</v>
      </c>
      <c r="D33" s="60">
        <v>1000</v>
      </c>
      <c r="E33" s="41">
        <v>8.27</v>
      </c>
      <c r="F33" s="41">
        <v>8.2899999999999991</v>
      </c>
      <c r="G33" s="1">
        <f t="shared" si="0"/>
        <v>8274.99</v>
      </c>
      <c r="H33" s="2">
        <f t="shared" si="1"/>
        <v>8285.01</v>
      </c>
      <c r="I33" s="20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2"/>
      <c r="B34" s="22"/>
      <c r="C34" s="61" t="s">
        <v>35</v>
      </c>
      <c r="D34" s="61">
        <v>1500</v>
      </c>
      <c r="E34" s="41">
        <v>3.05</v>
      </c>
      <c r="F34" s="41">
        <v>3.14</v>
      </c>
      <c r="G34" s="23">
        <f t="shared" si="0"/>
        <v>4579.99</v>
      </c>
      <c r="H34" s="24">
        <f t="shared" si="1"/>
        <v>4705.01</v>
      </c>
      <c r="I34" s="34">
        <f t="shared" si="4"/>
        <v>125.02000000000044</v>
      </c>
      <c r="J34" s="24">
        <f t="shared" si="5"/>
        <v>9.0000000000000302E-2</v>
      </c>
      <c r="K34" s="23">
        <v>4.99</v>
      </c>
      <c r="L34" s="52"/>
      <c r="M34" s="79"/>
    </row>
    <row r="35" spans="1:13" x14ac:dyDescent="0.25">
      <c r="A35" s="3">
        <v>41982</v>
      </c>
      <c r="B35" s="3"/>
      <c r="C35" s="60" t="s">
        <v>35</v>
      </c>
      <c r="D35" s="60">
        <v>1500</v>
      </c>
      <c r="E35" s="42">
        <v>3.22</v>
      </c>
      <c r="F35" s="42">
        <v>3.61</v>
      </c>
      <c r="G35" s="1">
        <f t="shared" si="0"/>
        <v>4834.99</v>
      </c>
      <c r="H35" s="2">
        <f t="shared" si="1"/>
        <v>5410.01</v>
      </c>
      <c r="I35" s="20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60" t="s">
        <v>28</v>
      </c>
      <c r="D36" s="60">
        <v>1000</v>
      </c>
      <c r="E36" s="41">
        <v>8.17</v>
      </c>
      <c r="F36" s="41">
        <v>8.4</v>
      </c>
      <c r="G36" s="1">
        <f t="shared" si="0"/>
        <v>8174.99</v>
      </c>
      <c r="H36" s="2">
        <f t="shared" si="1"/>
        <v>8395.01</v>
      </c>
      <c r="I36" s="20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60" t="s">
        <v>35</v>
      </c>
      <c r="D37" s="60">
        <v>1500</v>
      </c>
      <c r="E37" s="41">
        <v>3.69</v>
      </c>
      <c r="F37" s="41">
        <v>3.75</v>
      </c>
      <c r="G37" s="1">
        <f t="shared" si="0"/>
        <v>5539.99</v>
      </c>
      <c r="H37" s="2">
        <f t="shared" si="1"/>
        <v>5620.01</v>
      </c>
      <c r="I37" s="20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60" t="s">
        <v>35</v>
      </c>
      <c r="D38" s="60">
        <v>1500</v>
      </c>
      <c r="E38" s="41">
        <v>3.77</v>
      </c>
      <c r="F38" s="41">
        <v>3.69</v>
      </c>
      <c r="G38" s="1">
        <f t="shared" si="0"/>
        <v>5659.99</v>
      </c>
      <c r="H38" s="2">
        <f t="shared" si="1"/>
        <v>5530.01</v>
      </c>
      <c r="I38" s="20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60" t="s">
        <v>37</v>
      </c>
      <c r="D39" s="60">
        <v>1000</v>
      </c>
      <c r="E39" s="41">
        <v>7.44</v>
      </c>
      <c r="F39" s="41">
        <v>7.48</v>
      </c>
      <c r="G39" s="1">
        <f t="shared" si="0"/>
        <v>7444.99</v>
      </c>
      <c r="H39" s="2">
        <f t="shared" si="1"/>
        <v>7475.01</v>
      </c>
      <c r="I39" s="20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60" t="s">
        <v>35</v>
      </c>
      <c r="D40" s="60">
        <v>1500</v>
      </c>
      <c r="E40" s="41">
        <v>3.6</v>
      </c>
      <c r="F40" s="41">
        <v>3.66</v>
      </c>
      <c r="G40" s="1">
        <f t="shared" si="0"/>
        <v>5404.99</v>
      </c>
      <c r="H40" s="2">
        <f t="shared" si="1"/>
        <v>5485.01</v>
      </c>
      <c r="I40" s="20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2"/>
      <c r="B41" s="22"/>
      <c r="C41" s="61" t="s">
        <v>37</v>
      </c>
      <c r="D41" s="61">
        <v>1000</v>
      </c>
      <c r="E41" s="41">
        <v>7.37</v>
      </c>
      <c r="F41" s="41">
        <v>7.42</v>
      </c>
      <c r="G41" s="23">
        <f t="shared" si="0"/>
        <v>7374.99</v>
      </c>
      <c r="H41" s="24">
        <f t="shared" si="1"/>
        <v>7415.01</v>
      </c>
      <c r="I41" s="34">
        <f t="shared" si="4"/>
        <v>40.020000000000437</v>
      </c>
      <c r="J41" s="24">
        <f t="shared" si="5"/>
        <v>4.9999999999999822E-2</v>
      </c>
      <c r="K41" s="23">
        <v>4.99</v>
      </c>
      <c r="L41" s="52"/>
      <c r="M41" s="79"/>
    </row>
    <row r="42" spans="1:13" x14ac:dyDescent="0.25">
      <c r="A42" s="3">
        <v>41983</v>
      </c>
      <c r="B42" s="3"/>
      <c r="C42" s="60" t="s">
        <v>28</v>
      </c>
      <c r="D42" s="60">
        <v>1000</v>
      </c>
      <c r="E42" s="42">
        <v>8.3800000000000008</v>
      </c>
      <c r="F42" s="42">
        <v>8.44</v>
      </c>
      <c r="G42" s="1">
        <f t="shared" si="0"/>
        <v>8384.99</v>
      </c>
      <c r="H42" s="2">
        <f t="shared" si="1"/>
        <v>8435.01</v>
      </c>
      <c r="I42" s="20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51" customFormat="1" x14ac:dyDescent="0.25">
      <c r="A43" s="48"/>
      <c r="B43" s="48" t="s">
        <v>33</v>
      </c>
      <c r="C43" s="62" t="s">
        <v>9</v>
      </c>
      <c r="D43" s="62">
        <v>1000</v>
      </c>
      <c r="E43" s="42">
        <v>5.91</v>
      </c>
      <c r="F43" s="42">
        <v>6.06</v>
      </c>
      <c r="G43" s="49">
        <f t="shared" si="0"/>
        <v>5914.99</v>
      </c>
      <c r="H43" s="50">
        <f t="shared" si="1"/>
        <v>6055.01</v>
      </c>
      <c r="I43" s="49">
        <f t="shared" si="4"/>
        <v>140.02000000000044</v>
      </c>
      <c r="J43" s="50">
        <f t="shared" si="5"/>
        <v>0.14999999999999947</v>
      </c>
      <c r="K43" s="49">
        <v>4.99</v>
      </c>
      <c r="M43" s="80"/>
    </row>
    <row r="44" spans="1:13" x14ac:dyDescent="0.25">
      <c r="A44" s="3"/>
      <c r="B44" s="3"/>
      <c r="C44" s="60" t="s">
        <v>35</v>
      </c>
      <c r="D44" s="60">
        <v>1500</v>
      </c>
      <c r="E44" s="41">
        <v>3.46</v>
      </c>
      <c r="F44" s="41">
        <v>3.36</v>
      </c>
      <c r="G44" s="1">
        <f t="shared" si="0"/>
        <v>5194.99</v>
      </c>
      <c r="H44" s="2">
        <f t="shared" si="1"/>
        <v>5035.01</v>
      </c>
      <c r="I44" s="20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60" t="s">
        <v>28</v>
      </c>
      <c r="D45" s="60">
        <v>1000</v>
      </c>
      <c r="E45" s="41">
        <v>8.59</v>
      </c>
      <c r="F45" s="43">
        <v>8.67</v>
      </c>
      <c r="G45" s="1">
        <f t="shared" si="0"/>
        <v>8594.99</v>
      </c>
      <c r="H45" s="2">
        <f t="shared" si="1"/>
        <v>8665.01</v>
      </c>
      <c r="I45" s="20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60" t="s">
        <v>30</v>
      </c>
      <c r="D46" s="60">
        <v>1000</v>
      </c>
      <c r="E46" s="41">
        <v>7.21</v>
      </c>
      <c r="F46" s="43">
        <v>7.29</v>
      </c>
      <c r="G46" s="1">
        <f t="shared" si="0"/>
        <v>7214.99</v>
      </c>
      <c r="H46" s="2">
        <f t="shared" si="1"/>
        <v>7285.01</v>
      </c>
      <c r="I46" s="20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60" t="s">
        <v>35</v>
      </c>
      <c r="D47" s="60">
        <v>1500</v>
      </c>
      <c r="E47" s="43">
        <v>3.46</v>
      </c>
      <c r="F47" s="41">
        <v>2.91</v>
      </c>
      <c r="G47" s="1">
        <f t="shared" si="0"/>
        <v>5194.99</v>
      </c>
      <c r="H47" s="2">
        <f t="shared" si="1"/>
        <v>4360.01</v>
      </c>
      <c r="I47" s="20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60" t="s">
        <v>35</v>
      </c>
      <c r="D48" s="60">
        <v>900</v>
      </c>
      <c r="E48" s="41">
        <v>3.21</v>
      </c>
      <c r="F48" s="41">
        <v>3.25</v>
      </c>
      <c r="G48" s="1">
        <f t="shared" si="0"/>
        <v>2893.99</v>
      </c>
      <c r="H48" s="2">
        <f t="shared" si="1"/>
        <v>2920.01</v>
      </c>
      <c r="I48" s="20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2"/>
      <c r="B49" s="22"/>
      <c r="C49" s="61" t="s">
        <v>35</v>
      </c>
      <c r="D49" s="61">
        <v>900</v>
      </c>
      <c r="E49" s="41">
        <v>3.23</v>
      </c>
      <c r="F49" s="41">
        <v>3.28</v>
      </c>
      <c r="G49" s="23">
        <f t="shared" si="0"/>
        <v>2911.99</v>
      </c>
      <c r="H49" s="24">
        <f t="shared" si="1"/>
        <v>2947.01</v>
      </c>
      <c r="I49" s="34">
        <f t="shared" si="4"/>
        <v>35.020000000000437</v>
      </c>
      <c r="J49" s="24">
        <f t="shared" si="5"/>
        <v>4.9999999999999822E-2</v>
      </c>
      <c r="K49" s="23">
        <v>4.99</v>
      </c>
      <c r="L49" s="52"/>
      <c r="M49" s="79"/>
    </row>
    <row r="50" spans="1:13" x14ac:dyDescent="0.25">
      <c r="A50" s="3">
        <v>41984</v>
      </c>
      <c r="B50" s="3"/>
      <c r="C50" s="60" t="s">
        <v>28</v>
      </c>
      <c r="D50" s="60">
        <v>1000</v>
      </c>
      <c r="E50" s="42">
        <v>8.58</v>
      </c>
      <c r="F50" s="44">
        <v>8.82</v>
      </c>
      <c r="G50" s="1">
        <f t="shared" si="0"/>
        <v>8584.99</v>
      </c>
      <c r="H50" s="2">
        <f t="shared" si="1"/>
        <v>8815.01</v>
      </c>
      <c r="I50" s="20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60" t="s">
        <v>35</v>
      </c>
      <c r="D51" s="60">
        <v>1000</v>
      </c>
      <c r="E51" s="41">
        <v>3</v>
      </c>
      <c r="F51" s="41">
        <v>3.05</v>
      </c>
      <c r="G51" s="1">
        <f t="shared" si="0"/>
        <v>3004.99</v>
      </c>
      <c r="H51" s="2">
        <f t="shared" si="1"/>
        <v>3045.01</v>
      </c>
      <c r="I51" s="20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60" t="s">
        <v>35</v>
      </c>
      <c r="D52" s="60">
        <v>1000</v>
      </c>
      <c r="E52" s="41">
        <v>3.15</v>
      </c>
      <c r="F52" s="41">
        <v>3.05</v>
      </c>
      <c r="G52" s="1">
        <f t="shared" si="0"/>
        <v>3154.99</v>
      </c>
      <c r="H52" s="2">
        <f t="shared" si="1"/>
        <v>3045.01</v>
      </c>
      <c r="I52" s="20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60" t="s">
        <v>35</v>
      </c>
      <c r="D53" s="60">
        <v>2000</v>
      </c>
      <c r="E53" s="41">
        <v>3.15</v>
      </c>
      <c r="F53" s="41">
        <v>3.15</v>
      </c>
      <c r="G53" s="1">
        <f t="shared" si="0"/>
        <v>6304.99</v>
      </c>
      <c r="H53" s="2">
        <f t="shared" si="1"/>
        <v>6295.01</v>
      </c>
      <c r="I53" s="20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60" t="s">
        <v>28</v>
      </c>
      <c r="D54" s="60">
        <v>1000</v>
      </c>
      <c r="E54" s="41">
        <v>8.27</v>
      </c>
      <c r="F54" s="41">
        <v>8.2799999999999994</v>
      </c>
      <c r="G54" s="1">
        <f t="shared" si="0"/>
        <v>8274.99</v>
      </c>
      <c r="H54" s="2">
        <f t="shared" si="1"/>
        <v>8275.01</v>
      </c>
      <c r="I54" s="20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60" t="s">
        <v>30</v>
      </c>
      <c r="D55" s="60">
        <v>1000</v>
      </c>
      <c r="E55" s="41">
        <v>7.57</v>
      </c>
      <c r="F55" s="43">
        <v>7.62</v>
      </c>
      <c r="G55" s="1">
        <f t="shared" si="0"/>
        <v>7574.99</v>
      </c>
      <c r="H55" s="2">
        <f t="shared" si="1"/>
        <v>7615.01</v>
      </c>
      <c r="I55" s="20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60" t="s">
        <v>30</v>
      </c>
      <c r="D56" s="60">
        <v>1000</v>
      </c>
      <c r="E56" s="43">
        <v>7.55</v>
      </c>
      <c r="F56" s="41">
        <v>7.51</v>
      </c>
      <c r="G56" s="1">
        <f t="shared" si="0"/>
        <v>7554.99</v>
      </c>
      <c r="H56" s="2">
        <f t="shared" si="1"/>
        <v>7505.01</v>
      </c>
      <c r="I56" s="20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60" t="s">
        <v>38</v>
      </c>
      <c r="D57" s="60">
        <v>1000</v>
      </c>
      <c r="E57" s="43">
        <v>2.97</v>
      </c>
      <c r="F57" s="43">
        <v>3.12</v>
      </c>
      <c r="G57" s="1">
        <f t="shared" si="0"/>
        <v>2974.99</v>
      </c>
      <c r="H57" s="2">
        <f t="shared" si="1"/>
        <v>3115.01</v>
      </c>
      <c r="I57" s="20">
        <f t="shared" si="4"/>
        <v>140.02000000000044</v>
      </c>
      <c r="J57" s="2">
        <f t="shared" si="5"/>
        <v>0.14999999999999991</v>
      </c>
      <c r="K57" s="1">
        <v>4.99</v>
      </c>
    </row>
    <row r="58" spans="1:13" s="51" customFormat="1" x14ac:dyDescent="0.25">
      <c r="A58" s="55"/>
      <c r="B58" s="55"/>
      <c r="C58" s="53" t="s">
        <v>29</v>
      </c>
      <c r="D58" s="54">
        <v>1000</v>
      </c>
      <c r="E58" s="42">
        <v>3.59</v>
      </c>
      <c r="F58" s="42"/>
      <c r="G58" s="56">
        <f t="shared" si="0"/>
        <v>3594.99</v>
      </c>
      <c r="H58" s="57">
        <f t="shared" si="1"/>
        <v>0</v>
      </c>
      <c r="I58" s="56">
        <f t="shared" si="4"/>
        <v>0</v>
      </c>
      <c r="J58" s="57">
        <f t="shared" si="5"/>
        <v>0</v>
      </c>
      <c r="K58" s="56">
        <v>4.99</v>
      </c>
      <c r="L58" s="54"/>
      <c r="M58" s="79"/>
    </row>
    <row r="59" spans="1:13" x14ac:dyDescent="0.25">
      <c r="A59" s="3">
        <v>41985</v>
      </c>
      <c r="B59" s="3"/>
      <c r="C59" s="63" t="s">
        <v>38</v>
      </c>
      <c r="D59" s="63">
        <v>1000</v>
      </c>
      <c r="E59" s="42">
        <v>3.81</v>
      </c>
      <c r="F59" s="42">
        <v>3.86</v>
      </c>
      <c r="G59" s="1">
        <f t="shared" si="0"/>
        <v>3814.99</v>
      </c>
      <c r="H59" s="2">
        <f t="shared" si="1"/>
        <v>3855.01</v>
      </c>
      <c r="I59" s="20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63" t="s">
        <v>30</v>
      </c>
      <c r="D60" s="63">
        <v>1000</v>
      </c>
      <c r="E60" s="41">
        <v>7.19</v>
      </c>
      <c r="F60" s="41">
        <v>7.25</v>
      </c>
      <c r="G60" s="1">
        <f t="shared" si="0"/>
        <v>7194.99</v>
      </c>
      <c r="H60" s="2">
        <f t="shared" si="1"/>
        <v>7245.01</v>
      </c>
      <c r="I60" s="20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63" t="s">
        <v>30</v>
      </c>
      <c r="D61" s="63">
        <v>1000</v>
      </c>
      <c r="E61" s="43">
        <v>7.17</v>
      </c>
      <c r="F61" s="43">
        <v>7.21</v>
      </c>
      <c r="G61" s="1">
        <f t="shared" si="0"/>
        <v>7174.99</v>
      </c>
      <c r="H61" s="2">
        <f t="shared" si="1"/>
        <v>7205.01</v>
      </c>
      <c r="I61" s="20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2"/>
      <c r="B62" s="22"/>
      <c r="C62" s="61" t="s">
        <v>28</v>
      </c>
      <c r="D62" s="61">
        <v>1000</v>
      </c>
      <c r="E62" s="41">
        <v>8.75</v>
      </c>
      <c r="F62" s="41">
        <v>8.85</v>
      </c>
      <c r="G62" s="23">
        <f t="shared" si="0"/>
        <v>8754.99</v>
      </c>
      <c r="H62" s="24">
        <f t="shared" si="1"/>
        <v>8845.01</v>
      </c>
      <c r="I62" s="34">
        <f t="shared" si="4"/>
        <v>90.020000000000437</v>
      </c>
      <c r="J62" s="24">
        <f t="shared" si="5"/>
        <v>9.9999999999999645E-2</v>
      </c>
      <c r="K62" s="23">
        <v>4.99</v>
      </c>
      <c r="L62" s="52"/>
      <c r="M62" s="79"/>
    </row>
    <row r="63" spans="1:13" x14ac:dyDescent="0.25">
      <c r="A63" s="3">
        <v>41988</v>
      </c>
      <c r="B63" s="3"/>
      <c r="C63" s="60" t="s">
        <v>35</v>
      </c>
      <c r="D63" s="63">
        <v>1500</v>
      </c>
      <c r="E63" s="42">
        <v>2.46</v>
      </c>
      <c r="F63" s="42">
        <v>2.57</v>
      </c>
      <c r="G63" s="1">
        <f t="shared" si="0"/>
        <v>3694.99</v>
      </c>
      <c r="H63" s="2">
        <f t="shared" si="1"/>
        <v>3850.0099999999998</v>
      </c>
      <c r="I63" s="20">
        <f t="shared" si="4"/>
        <v>155.01999999999998</v>
      </c>
      <c r="J63" s="2">
        <f t="shared" si="5"/>
        <v>0.10999999999999988</v>
      </c>
      <c r="K63" s="1">
        <v>4.99</v>
      </c>
    </row>
    <row r="64" spans="1:13" s="51" customFormat="1" x14ac:dyDescent="0.25">
      <c r="A64" s="48"/>
      <c r="B64" s="48"/>
      <c r="C64" s="62" t="s">
        <v>38</v>
      </c>
      <c r="D64" s="62">
        <v>1000</v>
      </c>
      <c r="E64" s="42">
        <v>3.13</v>
      </c>
      <c r="F64" s="42">
        <v>3.01</v>
      </c>
      <c r="G64" s="49">
        <f t="shared" si="0"/>
        <v>3134.99</v>
      </c>
      <c r="H64" s="50">
        <f t="shared" si="1"/>
        <v>3005.01</v>
      </c>
      <c r="I64" s="49">
        <f t="shared" si="4"/>
        <v>-129.97999999999956</v>
      </c>
      <c r="J64" s="50">
        <f t="shared" si="5"/>
        <v>-0.12000000000000011</v>
      </c>
      <c r="K64" s="49">
        <v>4.99</v>
      </c>
      <c r="M64" s="80"/>
    </row>
    <row r="65" spans="1:13" x14ac:dyDescent="0.25">
      <c r="A65" s="3"/>
      <c r="B65" s="3"/>
      <c r="C65" s="60" t="s">
        <v>35</v>
      </c>
      <c r="D65" s="63">
        <v>1500</v>
      </c>
      <c r="E65" s="41">
        <v>2.5299999999999998</v>
      </c>
      <c r="F65" s="41">
        <v>2.57</v>
      </c>
      <c r="G65" s="1">
        <f t="shared" si="0"/>
        <v>3799.9899999999993</v>
      </c>
      <c r="H65" s="2">
        <f t="shared" si="1"/>
        <v>3850.0099999999998</v>
      </c>
      <c r="I65" s="20">
        <f t="shared" si="4"/>
        <v>50.020000000000437</v>
      </c>
      <c r="J65" s="2">
        <f t="shared" si="5"/>
        <v>4.0000000000000036E-2</v>
      </c>
      <c r="K65" s="49">
        <v>4.99</v>
      </c>
    </row>
    <row r="66" spans="1:13" x14ac:dyDescent="0.25">
      <c r="A66" s="3"/>
      <c r="B66" s="3"/>
      <c r="C66" s="60" t="s">
        <v>35</v>
      </c>
      <c r="D66" s="63">
        <v>1500</v>
      </c>
      <c r="E66" s="41">
        <v>2.54</v>
      </c>
      <c r="F66" s="41">
        <v>2.44</v>
      </c>
      <c r="G66" s="1">
        <f t="shared" si="0"/>
        <v>3814.99</v>
      </c>
      <c r="H66" s="2">
        <f t="shared" si="1"/>
        <v>3655.01</v>
      </c>
      <c r="I66" s="20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51" customFormat="1" x14ac:dyDescent="0.25">
      <c r="A67" s="55"/>
      <c r="B67" s="55"/>
      <c r="C67" s="53" t="s">
        <v>28</v>
      </c>
      <c r="D67" s="54">
        <v>1000</v>
      </c>
      <c r="E67" s="42">
        <v>8.6999999999999993</v>
      </c>
      <c r="F67" s="42"/>
      <c r="G67" s="56">
        <f t="shared" si="0"/>
        <v>8704.99</v>
      </c>
      <c r="H67" s="57">
        <f t="shared" si="1"/>
        <v>0</v>
      </c>
      <c r="I67" s="56">
        <f t="shared" si="4"/>
        <v>0</v>
      </c>
      <c r="J67" s="57">
        <f t="shared" si="5"/>
        <v>0</v>
      </c>
      <c r="K67" s="56">
        <v>4.99</v>
      </c>
      <c r="L67" s="54"/>
      <c r="M67" s="79"/>
    </row>
    <row r="68" spans="1:13" s="7" customFormat="1" x14ac:dyDescent="0.25">
      <c r="A68" s="6">
        <v>41989</v>
      </c>
      <c r="B68" s="6"/>
      <c r="C68" s="60" t="s">
        <v>28</v>
      </c>
      <c r="D68" s="63">
        <v>1000</v>
      </c>
      <c r="E68" s="42">
        <v>8.25</v>
      </c>
      <c r="F68" s="42">
        <v>8.31</v>
      </c>
      <c r="G68" s="20">
        <f t="shared" si="0"/>
        <v>8254.99</v>
      </c>
      <c r="H68" s="8">
        <f t="shared" si="1"/>
        <v>8305.01</v>
      </c>
      <c r="I68" s="20">
        <f t="shared" si="4"/>
        <v>50.020000000000437</v>
      </c>
      <c r="J68" s="8">
        <f t="shared" si="5"/>
        <v>6.0000000000000497E-2</v>
      </c>
      <c r="K68" s="20">
        <v>4.99</v>
      </c>
      <c r="M68" s="81"/>
    </row>
    <row r="69" spans="1:13" s="7" customFormat="1" x14ac:dyDescent="0.25">
      <c r="A69" s="6"/>
      <c r="B69" s="6"/>
      <c r="C69" s="60" t="s">
        <v>38</v>
      </c>
      <c r="D69" s="63">
        <v>1000</v>
      </c>
      <c r="E69" s="42">
        <v>2.81</v>
      </c>
      <c r="F69" s="42">
        <v>2.99</v>
      </c>
      <c r="G69" s="20">
        <f t="shared" si="0"/>
        <v>2814.99</v>
      </c>
      <c r="H69" s="8">
        <f t="shared" si="1"/>
        <v>2985.01</v>
      </c>
      <c r="I69" s="20">
        <f t="shared" si="4"/>
        <v>170.02000000000044</v>
      </c>
      <c r="J69" s="8">
        <f t="shared" si="5"/>
        <v>0.18000000000000016</v>
      </c>
      <c r="K69" s="20">
        <v>4.99</v>
      </c>
      <c r="M69" s="81"/>
    </row>
    <row r="70" spans="1:13" x14ac:dyDescent="0.25">
      <c r="A70" s="3"/>
      <c r="B70" s="3"/>
      <c r="C70" s="60" t="s">
        <v>35</v>
      </c>
      <c r="D70" s="60">
        <v>1500</v>
      </c>
      <c r="E70" s="41">
        <v>2.2799999999999998</v>
      </c>
      <c r="F70" s="41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0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60" t="s">
        <v>35</v>
      </c>
      <c r="D71" s="60">
        <v>1500</v>
      </c>
      <c r="E71" s="41">
        <v>1.99</v>
      </c>
      <c r="F71" s="41">
        <v>2.0099999999999998</v>
      </c>
      <c r="G71" s="1">
        <f t="shared" si="6"/>
        <v>2989.99</v>
      </c>
      <c r="H71" s="2">
        <f t="shared" si="7"/>
        <v>3010.0099999999998</v>
      </c>
      <c r="I71" s="20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60" t="s">
        <v>28</v>
      </c>
      <c r="D72" s="63">
        <v>1000</v>
      </c>
      <c r="E72" s="42">
        <v>8.2100000000000009</v>
      </c>
      <c r="F72" s="42">
        <v>8.26</v>
      </c>
      <c r="G72" s="20">
        <f t="shared" si="6"/>
        <v>8214.99</v>
      </c>
      <c r="H72" s="8">
        <f t="shared" si="7"/>
        <v>8255.01</v>
      </c>
      <c r="I72" s="20">
        <f t="shared" si="4"/>
        <v>40.020000000000437</v>
      </c>
      <c r="J72" s="8">
        <f t="shared" si="5"/>
        <v>4.9999999999998934E-2</v>
      </c>
      <c r="K72" s="20">
        <v>4.99</v>
      </c>
      <c r="M72" s="81"/>
    </row>
    <row r="73" spans="1:13" x14ac:dyDescent="0.25">
      <c r="A73" s="3"/>
      <c r="B73" s="3"/>
      <c r="C73" s="60" t="s">
        <v>35</v>
      </c>
      <c r="D73" s="60">
        <v>1500</v>
      </c>
      <c r="E73" s="41">
        <v>2</v>
      </c>
      <c r="F73" s="41">
        <v>2.02</v>
      </c>
      <c r="G73" s="1">
        <f t="shared" si="6"/>
        <v>3004.99</v>
      </c>
      <c r="H73" s="2">
        <f t="shared" si="7"/>
        <v>3025.01</v>
      </c>
      <c r="I73" s="20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2"/>
      <c r="B74" s="22"/>
      <c r="C74" s="61" t="s">
        <v>35</v>
      </c>
      <c r="D74" s="61">
        <v>1500</v>
      </c>
      <c r="E74" s="41">
        <v>1.97</v>
      </c>
      <c r="F74" s="41">
        <v>2.0299999999999998</v>
      </c>
      <c r="G74" s="23">
        <f t="shared" si="6"/>
        <v>2959.99</v>
      </c>
      <c r="H74" s="24">
        <f t="shared" si="7"/>
        <v>3040.0099999999998</v>
      </c>
      <c r="I74" s="34">
        <f t="shared" si="4"/>
        <v>80.019999999999982</v>
      </c>
      <c r="J74" s="24">
        <f t="shared" si="5"/>
        <v>5.9999999999999831E-2</v>
      </c>
      <c r="K74" s="23">
        <v>4.99</v>
      </c>
      <c r="L74" s="52"/>
      <c r="M74" s="79"/>
    </row>
    <row r="75" spans="1:13" x14ac:dyDescent="0.25">
      <c r="A75" s="3">
        <v>41990</v>
      </c>
      <c r="B75" s="3"/>
      <c r="C75" s="63" t="s">
        <v>28</v>
      </c>
      <c r="D75" s="63">
        <v>1000</v>
      </c>
      <c r="E75" s="42">
        <v>8.3000000000000007</v>
      </c>
      <c r="F75" s="42">
        <v>8.4</v>
      </c>
      <c r="G75" s="1">
        <f t="shared" si="6"/>
        <v>8304.99</v>
      </c>
      <c r="H75" s="2">
        <f t="shared" si="7"/>
        <v>8395.01</v>
      </c>
      <c r="I75" s="20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63" t="s">
        <v>9</v>
      </c>
      <c r="D76" s="63">
        <v>1000</v>
      </c>
      <c r="E76" s="41">
        <v>4.53</v>
      </c>
      <c r="F76" s="41">
        <v>4.59</v>
      </c>
      <c r="G76" s="1">
        <f t="shared" si="6"/>
        <v>4534.99</v>
      </c>
      <c r="H76" s="2">
        <f t="shared" si="7"/>
        <v>4585.01</v>
      </c>
      <c r="I76" s="20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63" t="s">
        <v>30</v>
      </c>
      <c r="D77" s="63">
        <v>1000</v>
      </c>
      <c r="E77" s="42">
        <v>7.34</v>
      </c>
      <c r="F77" s="42">
        <v>7.39</v>
      </c>
      <c r="G77" s="20">
        <f t="shared" si="6"/>
        <v>7344.99</v>
      </c>
      <c r="H77" s="8">
        <f t="shared" si="7"/>
        <v>7385.01</v>
      </c>
      <c r="I77" s="20">
        <f t="shared" si="4"/>
        <v>40.020000000000437</v>
      </c>
      <c r="J77" s="8">
        <f t="shared" si="5"/>
        <v>4.9999999999999822E-2</v>
      </c>
      <c r="K77" s="20">
        <v>4.99</v>
      </c>
      <c r="M77" s="81"/>
    </row>
    <row r="78" spans="1:13" x14ac:dyDescent="0.25">
      <c r="A78" s="3"/>
      <c r="B78" s="3"/>
      <c r="C78" s="63" t="s">
        <v>9</v>
      </c>
      <c r="D78" s="63">
        <v>1000</v>
      </c>
      <c r="E78" s="41">
        <v>4.6500000000000004</v>
      </c>
      <c r="F78" s="41">
        <v>4.7699999999999996</v>
      </c>
      <c r="G78" s="1">
        <f t="shared" si="6"/>
        <v>4654.99</v>
      </c>
      <c r="H78" s="2">
        <f t="shared" si="7"/>
        <v>4765.01</v>
      </c>
      <c r="I78" s="20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2"/>
      <c r="B79" s="22"/>
      <c r="C79" s="61" t="s">
        <v>9</v>
      </c>
      <c r="D79" s="61">
        <v>1000</v>
      </c>
      <c r="E79" s="41">
        <v>4.67</v>
      </c>
      <c r="F79" s="41">
        <v>4.71</v>
      </c>
      <c r="G79" s="23">
        <f t="shared" si="6"/>
        <v>4674.99</v>
      </c>
      <c r="H79" s="24">
        <f t="shared" si="7"/>
        <v>4705.01</v>
      </c>
      <c r="I79" s="34">
        <f t="shared" si="4"/>
        <v>30.020000000000437</v>
      </c>
      <c r="J79" s="24">
        <f t="shared" si="5"/>
        <v>4.0000000000000036E-2</v>
      </c>
      <c r="K79" s="23">
        <v>4.99</v>
      </c>
      <c r="L79" s="52"/>
      <c r="M79" s="79"/>
    </row>
    <row r="80" spans="1:13" s="7" customFormat="1" x14ac:dyDescent="0.25">
      <c r="A80" s="6">
        <v>41991</v>
      </c>
      <c r="B80" s="6"/>
      <c r="C80" s="63" t="s">
        <v>29</v>
      </c>
      <c r="D80" s="63">
        <v>1000</v>
      </c>
      <c r="E80" s="42">
        <v>3.22</v>
      </c>
      <c r="F80" s="42">
        <v>3.32</v>
      </c>
      <c r="G80" s="20">
        <f t="shared" si="6"/>
        <v>3224.99</v>
      </c>
      <c r="H80" s="8">
        <f t="shared" si="7"/>
        <v>3315.01</v>
      </c>
      <c r="I80" s="20">
        <f t="shared" si="4"/>
        <v>90.020000000000437</v>
      </c>
      <c r="J80" s="8">
        <f t="shared" si="5"/>
        <v>9.9999999999999645E-2</v>
      </c>
      <c r="K80" s="20">
        <v>4.99</v>
      </c>
      <c r="M80" s="81"/>
    </row>
    <row r="81" spans="1:13" s="7" customFormat="1" x14ac:dyDescent="0.25">
      <c r="A81" s="6"/>
      <c r="B81" s="6"/>
      <c r="C81" s="63" t="s">
        <v>9</v>
      </c>
      <c r="D81" s="63">
        <v>1000</v>
      </c>
      <c r="E81" s="42">
        <v>5.04</v>
      </c>
      <c r="F81" s="42">
        <v>5.18</v>
      </c>
      <c r="G81" s="20">
        <f t="shared" si="6"/>
        <v>5044.99</v>
      </c>
      <c r="H81" s="8">
        <f t="shared" si="7"/>
        <v>5175.01</v>
      </c>
      <c r="I81" s="20">
        <f t="shared" si="4"/>
        <v>130.02000000000044</v>
      </c>
      <c r="J81" s="8">
        <f t="shared" si="5"/>
        <v>0.13999999999999968</v>
      </c>
      <c r="K81" s="20">
        <v>4.99</v>
      </c>
      <c r="M81" s="81"/>
    </row>
    <row r="82" spans="1:13" x14ac:dyDescent="0.25">
      <c r="A82" s="3"/>
      <c r="B82" s="3"/>
      <c r="C82" s="63" t="s">
        <v>28</v>
      </c>
      <c r="D82" s="63">
        <v>1000</v>
      </c>
      <c r="E82" s="41">
        <v>8.36</v>
      </c>
      <c r="F82" s="41">
        <v>8.3800000000000008</v>
      </c>
      <c r="G82" s="1">
        <f t="shared" si="6"/>
        <v>8364.99</v>
      </c>
      <c r="H82" s="2">
        <f t="shared" si="7"/>
        <v>8375.01</v>
      </c>
      <c r="I82" s="20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63" t="s">
        <v>9</v>
      </c>
      <c r="D83" s="63">
        <v>1000</v>
      </c>
      <c r="E83" s="42">
        <v>4.9400000000000004</v>
      </c>
      <c r="F83" s="42">
        <v>5.04</v>
      </c>
      <c r="G83" s="20">
        <f t="shared" si="6"/>
        <v>4944.99</v>
      </c>
      <c r="H83" s="8">
        <f t="shared" si="7"/>
        <v>5035.01</v>
      </c>
      <c r="I83" s="20">
        <f t="shared" si="4"/>
        <v>90.020000000000437</v>
      </c>
      <c r="J83" s="8">
        <f t="shared" si="5"/>
        <v>9.9999999999999645E-2</v>
      </c>
      <c r="K83" s="20">
        <v>4.99</v>
      </c>
      <c r="M83" s="81"/>
    </row>
    <row r="84" spans="1:13" s="7" customFormat="1" x14ac:dyDescent="0.25">
      <c r="A84" s="6"/>
      <c r="B84" s="6"/>
      <c r="C84" s="63" t="s">
        <v>28</v>
      </c>
      <c r="D84" s="63">
        <v>1000</v>
      </c>
      <c r="E84" s="42">
        <v>8.24</v>
      </c>
      <c r="F84" s="42">
        <v>8.2799999999999994</v>
      </c>
      <c r="G84" s="20">
        <f t="shared" si="6"/>
        <v>8244.99</v>
      </c>
      <c r="H84" s="8">
        <f t="shared" si="7"/>
        <v>8275.01</v>
      </c>
      <c r="I84" s="20">
        <f t="shared" si="4"/>
        <v>30.020000000000437</v>
      </c>
      <c r="J84" s="8">
        <f t="shared" si="5"/>
        <v>3.9999999999999147E-2</v>
      </c>
      <c r="K84" s="20">
        <v>4.99</v>
      </c>
      <c r="M84" s="81"/>
    </row>
    <row r="85" spans="1:13" s="7" customFormat="1" x14ac:dyDescent="0.25">
      <c r="A85" s="6"/>
      <c r="B85" s="6"/>
      <c r="C85" s="63" t="s">
        <v>29</v>
      </c>
      <c r="D85" s="63">
        <v>1000</v>
      </c>
      <c r="E85" s="42">
        <v>2.94</v>
      </c>
      <c r="F85" s="42">
        <v>3.09</v>
      </c>
      <c r="G85" s="20">
        <f t="shared" si="6"/>
        <v>2944.99</v>
      </c>
      <c r="H85" s="8">
        <f t="shared" si="7"/>
        <v>3085.01</v>
      </c>
      <c r="I85" s="20">
        <f t="shared" si="4"/>
        <v>140.02000000000044</v>
      </c>
      <c r="J85" s="8">
        <f t="shared" si="5"/>
        <v>0.14999999999999991</v>
      </c>
      <c r="K85" s="20">
        <v>4.99</v>
      </c>
      <c r="M85" s="81"/>
    </row>
    <row r="86" spans="1:13" s="7" customFormat="1" x14ac:dyDescent="0.25">
      <c r="A86" s="6"/>
      <c r="B86" s="6"/>
      <c r="C86" s="63" t="s">
        <v>28</v>
      </c>
      <c r="D86" s="63">
        <v>1000</v>
      </c>
      <c r="E86" s="42">
        <v>8.26</v>
      </c>
      <c r="F86" s="42">
        <v>8.32</v>
      </c>
      <c r="G86" s="20">
        <f t="shared" si="6"/>
        <v>8264.99</v>
      </c>
      <c r="H86" s="8">
        <f t="shared" si="7"/>
        <v>8315.01</v>
      </c>
      <c r="I86" s="20">
        <f t="shared" si="4"/>
        <v>50.020000000000437</v>
      </c>
      <c r="J86" s="8">
        <f t="shared" si="5"/>
        <v>6.0000000000000497E-2</v>
      </c>
      <c r="K86" s="20">
        <v>4.99</v>
      </c>
      <c r="M86" s="81"/>
    </row>
    <row r="87" spans="1:13" s="7" customFormat="1" x14ac:dyDescent="0.25">
      <c r="A87" s="46"/>
      <c r="B87" s="46"/>
      <c r="C87" s="61" t="s">
        <v>42</v>
      </c>
      <c r="D87" s="61">
        <v>1500</v>
      </c>
      <c r="E87" s="42">
        <v>2.54</v>
      </c>
      <c r="F87" s="42">
        <v>2.58</v>
      </c>
      <c r="G87" s="34">
        <f t="shared" si="6"/>
        <v>3814.99</v>
      </c>
      <c r="H87" s="25">
        <f t="shared" si="7"/>
        <v>3865.01</v>
      </c>
      <c r="I87" s="34">
        <f t="shared" si="4"/>
        <v>50.020000000000437</v>
      </c>
      <c r="J87" s="25">
        <f t="shared" si="5"/>
        <v>4.0000000000000036E-2</v>
      </c>
      <c r="K87" s="34">
        <v>4.99</v>
      </c>
      <c r="L87" s="52"/>
      <c r="M87" s="79"/>
    </row>
    <row r="88" spans="1:13" s="7" customFormat="1" x14ac:dyDescent="0.25">
      <c r="A88" s="6">
        <v>41992</v>
      </c>
      <c r="B88" s="6"/>
      <c r="C88" s="63" t="s">
        <v>28</v>
      </c>
      <c r="D88" s="63">
        <v>1000</v>
      </c>
      <c r="E88" s="42">
        <v>7.59</v>
      </c>
      <c r="F88" s="42">
        <v>7.71</v>
      </c>
      <c r="G88" s="20">
        <f t="shared" si="6"/>
        <v>7594.99</v>
      </c>
      <c r="H88" s="8">
        <f t="shared" si="7"/>
        <v>7705.01</v>
      </c>
      <c r="I88" s="20">
        <f t="shared" si="4"/>
        <v>110.02000000000044</v>
      </c>
      <c r="J88" s="8">
        <f t="shared" si="5"/>
        <v>0.12000000000000011</v>
      </c>
      <c r="K88" s="20">
        <v>4.99</v>
      </c>
      <c r="L88" s="2"/>
      <c r="M88" s="81"/>
    </row>
    <row r="89" spans="1:13" s="7" customFormat="1" x14ac:dyDescent="0.25">
      <c r="A89" s="6"/>
      <c r="B89" s="6"/>
      <c r="C89" s="63" t="s">
        <v>9</v>
      </c>
      <c r="D89" s="63">
        <v>1000</v>
      </c>
      <c r="E89" s="42">
        <v>5.16</v>
      </c>
      <c r="F89" s="42">
        <v>5.32</v>
      </c>
      <c r="G89" s="20">
        <f t="shared" si="6"/>
        <v>5164.99</v>
      </c>
      <c r="H89" s="8">
        <f t="shared" si="7"/>
        <v>5315.01</v>
      </c>
      <c r="I89" s="20">
        <f t="shared" si="4"/>
        <v>150.02000000000044</v>
      </c>
      <c r="J89" s="8">
        <f t="shared" si="5"/>
        <v>0.16000000000000014</v>
      </c>
      <c r="K89" s="20">
        <v>4.99</v>
      </c>
      <c r="M89" s="81"/>
    </row>
    <row r="90" spans="1:13" s="7" customFormat="1" x14ac:dyDescent="0.25">
      <c r="A90" s="6"/>
      <c r="B90" s="6"/>
      <c r="C90" s="63" t="s">
        <v>9</v>
      </c>
      <c r="D90" s="63">
        <v>1000</v>
      </c>
      <c r="E90" s="42">
        <v>5.3</v>
      </c>
      <c r="F90" s="42">
        <v>5.37</v>
      </c>
      <c r="G90" s="20">
        <f t="shared" si="6"/>
        <v>5304.99</v>
      </c>
      <c r="H90" s="8">
        <f t="shared" si="7"/>
        <v>5365.01</v>
      </c>
      <c r="I90" s="20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0">
        <v>4.99</v>
      </c>
      <c r="M90" s="81"/>
    </row>
    <row r="91" spans="1:13" s="7" customFormat="1" x14ac:dyDescent="0.25">
      <c r="A91" s="6"/>
      <c r="B91" s="6"/>
      <c r="C91" s="63" t="s">
        <v>29</v>
      </c>
      <c r="D91" s="63">
        <v>1000</v>
      </c>
      <c r="E91" s="42">
        <v>3.08</v>
      </c>
      <c r="F91" s="42">
        <v>3.12</v>
      </c>
      <c r="G91" s="20">
        <f t="shared" si="6"/>
        <v>3084.99</v>
      </c>
      <c r="H91" s="8">
        <f t="shared" si="7"/>
        <v>3115.01</v>
      </c>
      <c r="I91" s="20">
        <f t="shared" si="8"/>
        <v>30.020000000000437</v>
      </c>
      <c r="J91" s="8">
        <f t="shared" si="9"/>
        <v>4.0000000000000036E-2</v>
      </c>
      <c r="K91" s="20">
        <v>4.99</v>
      </c>
      <c r="M91" s="81"/>
    </row>
    <row r="92" spans="1:13" s="7" customFormat="1" x14ac:dyDescent="0.25">
      <c r="A92" s="6"/>
      <c r="B92" s="6"/>
      <c r="C92" s="63" t="s">
        <v>42</v>
      </c>
      <c r="D92" s="63">
        <v>1500</v>
      </c>
      <c r="E92" s="42">
        <v>2.58</v>
      </c>
      <c r="F92" s="42">
        <v>2.5099999999999998</v>
      </c>
      <c r="G92" s="20">
        <f t="shared" si="6"/>
        <v>3874.99</v>
      </c>
      <c r="H92" s="8">
        <f t="shared" si="7"/>
        <v>3760.0099999999998</v>
      </c>
      <c r="I92" s="20">
        <f t="shared" si="8"/>
        <v>-114.98000000000002</v>
      </c>
      <c r="J92" s="8">
        <f t="shared" si="9"/>
        <v>-7.0000000000000284E-2</v>
      </c>
      <c r="K92" s="20">
        <v>4.99</v>
      </c>
      <c r="M92" s="81"/>
    </row>
    <row r="93" spans="1:13" s="7" customFormat="1" x14ac:dyDescent="0.25">
      <c r="A93" s="6"/>
      <c r="B93" s="6"/>
      <c r="C93" s="64" t="s">
        <v>28</v>
      </c>
      <c r="D93" s="63">
        <v>1000</v>
      </c>
      <c r="E93" s="42">
        <v>7.65</v>
      </c>
      <c r="F93" s="42"/>
      <c r="G93" s="20">
        <f t="shared" si="6"/>
        <v>7654.99</v>
      </c>
      <c r="H93" s="8">
        <f t="shared" si="7"/>
        <v>0</v>
      </c>
      <c r="I93" s="20">
        <f t="shared" si="8"/>
        <v>0</v>
      </c>
      <c r="J93" s="8">
        <f t="shared" si="9"/>
        <v>0</v>
      </c>
      <c r="K93" s="20">
        <v>4.99</v>
      </c>
      <c r="M93" s="81"/>
    </row>
    <row r="94" spans="1:13" s="7" customFormat="1" x14ac:dyDescent="0.25">
      <c r="A94" s="6"/>
      <c r="B94" s="6"/>
      <c r="C94" s="63" t="s">
        <v>28</v>
      </c>
      <c r="D94" s="63">
        <v>1000</v>
      </c>
      <c r="E94" s="42">
        <v>7.46</v>
      </c>
      <c r="F94" s="42">
        <v>7.48</v>
      </c>
      <c r="G94" s="20">
        <f t="shared" si="6"/>
        <v>7464.99</v>
      </c>
      <c r="H94" s="8">
        <f t="shared" si="7"/>
        <v>7475.01</v>
      </c>
      <c r="I94" s="20">
        <f t="shared" si="8"/>
        <v>10.020000000000437</v>
      </c>
      <c r="J94" s="8">
        <f t="shared" si="9"/>
        <v>2.0000000000000462E-2</v>
      </c>
      <c r="K94" s="20">
        <v>4.99</v>
      </c>
      <c r="M94" s="81"/>
    </row>
    <row r="95" spans="1:13" s="7" customFormat="1" x14ac:dyDescent="0.25">
      <c r="A95" s="46"/>
      <c r="B95" s="46"/>
      <c r="C95" s="65" t="s">
        <v>29</v>
      </c>
      <c r="D95" s="61">
        <v>2000</v>
      </c>
      <c r="E95" s="42">
        <v>3.32</v>
      </c>
      <c r="F95" s="42"/>
      <c r="G95" s="34">
        <f t="shared" si="6"/>
        <v>6644.99</v>
      </c>
      <c r="H95" s="25">
        <f t="shared" si="7"/>
        <v>0</v>
      </c>
      <c r="I95" s="34">
        <f t="shared" si="8"/>
        <v>0</v>
      </c>
      <c r="J95" s="25">
        <f t="shared" si="9"/>
        <v>0</v>
      </c>
      <c r="K95" s="34">
        <v>4.99</v>
      </c>
      <c r="L95" s="54"/>
      <c r="M95" s="79"/>
    </row>
    <row r="96" spans="1:13" x14ac:dyDescent="0.25">
      <c r="A96" s="3">
        <v>357</v>
      </c>
      <c r="B96" s="3"/>
      <c r="C96" s="63" t="s">
        <v>28</v>
      </c>
      <c r="D96" s="63">
        <v>1000</v>
      </c>
      <c r="E96" s="42">
        <v>6.25</v>
      </c>
      <c r="F96" s="42">
        <v>6.31</v>
      </c>
      <c r="G96" s="1">
        <f>IF(D96&gt;0,(D96*E96)+K96,0)</f>
        <v>6254.99</v>
      </c>
      <c r="H96" s="2">
        <f>IF(F96&gt;0,(D96*F96)-K96,0)</f>
        <v>6305.01</v>
      </c>
      <c r="I96" s="20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3" x14ac:dyDescent="0.25">
      <c r="A97" s="3"/>
      <c r="B97" s="3"/>
      <c r="C97" s="63" t="s">
        <v>28</v>
      </c>
      <c r="D97" s="63">
        <v>1000</v>
      </c>
      <c r="E97" s="42">
        <v>6.27</v>
      </c>
      <c r="F97" s="42">
        <v>6.34</v>
      </c>
      <c r="G97" s="1">
        <f>IF(D97&gt;0,(D97*E97)+K97,0)</f>
        <v>6274.99</v>
      </c>
      <c r="H97" s="2">
        <f>IF(F97&gt;0,(D97*F97)-K97,0)</f>
        <v>6335.01</v>
      </c>
      <c r="I97" s="20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63" t="s">
        <v>28</v>
      </c>
      <c r="D98" s="63">
        <v>1000</v>
      </c>
      <c r="E98" s="41">
        <v>6.38</v>
      </c>
      <c r="F98" s="41">
        <v>6.46</v>
      </c>
      <c r="G98" s="1">
        <f>IF(D98&gt;0,(D98*E98)+K98,0)</f>
        <v>6384.99</v>
      </c>
      <c r="H98" s="2">
        <f>IF(F98&gt;0,(D98*F98)-K98,0)</f>
        <v>6455.01</v>
      </c>
      <c r="I98" s="20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63" t="s">
        <v>28</v>
      </c>
      <c r="D99" s="63">
        <v>1000</v>
      </c>
      <c r="E99" s="41">
        <v>6.44</v>
      </c>
      <c r="F99" s="41">
        <v>6.54</v>
      </c>
      <c r="G99" s="1">
        <f t="shared" si="6"/>
        <v>6444.99</v>
      </c>
      <c r="H99" s="2">
        <f t="shared" si="7"/>
        <v>6535.01</v>
      </c>
      <c r="I99" s="20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2"/>
      <c r="B100" s="22"/>
      <c r="C100" s="61" t="s">
        <v>28</v>
      </c>
      <c r="D100" s="61">
        <v>1000</v>
      </c>
      <c r="E100" s="41">
        <v>6.39</v>
      </c>
      <c r="F100" s="41">
        <v>6.17</v>
      </c>
      <c r="G100" s="23">
        <f t="shared" si="6"/>
        <v>6394.99</v>
      </c>
      <c r="H100" s="24">
        <f t="shared" si="7"/>
        <v>6165.01</v>
      </c>
      <c r="I100" s="34">
        <f t="shared" si="8"/>
        <v>-229.97999999999956</v>
      </c>
      <c r="J100" s="24">
        <f t="shared" si="9"/>
        <v>-0.21999999999999975</v>
      </c>
      <c r="K100" s="23">
        <v>4.99</v>
      </c>
      <c r="L100" s="52"/>
      <c r="M100" s="79"/>
    </row>
    <row r="101" spans="1:13" x14ac:dyDescent="0.25">
      <c r="A101" s="3">
        <v>42361</v>
      </c>
      <c r="B101" s="3"/>
      <c r="C101" s="63" t="s">
        <v>28</v>
      </c>
      <c r="D101" s="63">
        <v>1000</v>
      </c>
      <c r="E101" s="42">
        <v>6.1</v>
      </c>
      <c r="F101" s="42">
        <v>6</v>
      </c>
      <c r="G101" s="1">
        <f t="shared" si="6"/>
        <v>6104.99</v>
      </c>
      <c r="H101" s="2">
        <f t="shared" si="7"/>
        <v>5995.01</v>
      </c>
      <c r="I101" s="20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3" x14ac:dyDescent="0.25">
      <c r="A102" s="3"/>
      <c r="B102" s="3"/>
      <c r="C102" s="63" t="s">
        <v>42</v>
      </c>
      <c r="D102" s="63">
        <v>1000</v>
      </c>
      <c r="E102" s="42">
        <v>2.34</v>
      </c>
      <c r="F102" s="42">
        <v>2.35</v>
      </c>
      <c r="G102" s="1">
        <f t="shared" si="6"/>
        <v>2344.9899999999998</v>
      </c>
      <c r="H102" s="2">
        <f t="shared" si="7"/>
        <v>2345.0100000000002</v>
      </c>
      <c r="I102" s="20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63" t="s">
        <v>28</v>
      </c>
      <c r="D103" s="63">
        <v>1000</v>
      </c>
      <c r="E103" s="42">
        <v>6.14</v>
      </c>
      <c r="F103" s="42">
        <v>6.16</v>
      </c>
      <c r="G103" s="20">
        <f t="shared" si="6"/>
        <v>6144.99</v>
      </c>
      <c r="H103" s="8">
        <f t="shared" si="7"/>
        <v>6155.01</v>
      </c>
      <c r="I103" s="20">
        <f t="shared" si="8"/>
        <v>10.020000000000437</v>
      </c>
      <c r="J103" s="8">
        <f t="shared" si="9"/>
        <v>2.0000000000000462E-2</v>
      </c>
      <c r="K103" s="20">
        <v>4.99</v>
      </c>
      <c r="M103" s="81"/>
    </row>
    <row r="104" spans="1:13" x14ac:dyDescent="0.25">
      <c r="A104" s="3"/>
      <c r="B104" s="3"/>
      <c r="C104" s="63" t="s">
        <v>44</v>
      </c>
      <c r="D104" s="63">
        <v>1000</v>
      </c>
      <c r="E104" s="41"/>
      <c r="F104" s="41">
        <v>0.34</v>
      </c>
      <c r="G104" s="1">
        <f t="shared" si="6"/>
        <v>4.99</v>
      </c>
      <c r="H104" s="2">
        <f t="shared" si="7"/>
        <v>335.01</v>
      </c>
      <c r="I104" s="20">
        <f t="shared" si="8"/>
        <v>330.02</v>
      </c>
      <c r="J104" s="2">
        <f t="shared" si="9"/>
        <v>0.34</v>
      </c>
      <c r="K104" s="1">
        <v>4.99</v>
      </c>
    </row>
    <row r="105" spans="1:13" s="7" customFormat="1" x14ac:dyDescent="0.25">
      <c r="A105" s="46"/>
      <c r="B105" s="46"/>
      <c r="C105" s="73" t="s">
        <v>28</v>
      </c>
      <c r="D105" s="61">
        <v>1000</v>
      </c>
      <c r="E105" s="42">
        <v>6.24</v>
      </c>
      <c r="F105" s="42">
        <v>6.06</v>
      </c>
      <c r="G105" s="34">
        <f t="shared" si="6"/>
        <v>6244.99</v>
      </c>
      <c r="H105" s="25">
        <f t="shared" si="7"/>
        <v>6055.01</v>
      </c>
      <c r="I105" s="34">
        <f t="shared" si="8"/>
        <v>-189.97999999999956</v>
      </c>
      <c r="J105" s="25">
        <f t="shared" si="9"/>
        <v>-0.1800000000000006</v>
      </c>
      <c r="K105" s="34">
        <v>4.99</v>
      </c>
      <c r="L105" s="54"/>
      <c r="M105" s="79"/>
    </row>
    <row r="106" spans="1:13" x14ac:dyDescent="0.25">
      <c r="A106" s="3">
        <v>42362</v>
      </c>
      <c r="B106" s="3"/>
      <c r="C106" s="63" t="s">
        <v>42</v>
      </c>
      <c r="D106" s="63">
        <v>1500</v>
      </c>
      <c r="E106" s="42">
        <v>2.41</v>
      </c>
      <c r="F106" s="42">
        <v>2.4500000000000002</v>
      </c>
      <c r="G106" s="1">
        <f t="shared" si="6"/>
        <v>3619.99</v>
      </c>
      <c r="H106" s="2">
        <f t="shared" si="7"/>
        <v>3670.0100000000007</v>
      </c>
      <c r="I106" s="20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63" t="s">
        <v>42</v>
      </c>
      <c r="D107" s="63">
        <v>1500</v>
      </c>
      <c r="E107" s="41">
        <v>2.44</v>
      </c>
      <c r="F107" s="41">
        <v>2.4700000000000002</v>
      </c>
      <c r="G107" s="1">
        <f t="shared" si="6"/>
        <v>3664.99</v>
      </c>
      <c r="H107" s="2">
        <f t="shared" si="7"/>
        <v>3700.0100000000007</v>
      </c>
      <c r="I107" s="20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63" t="s">
        <v>42</v>
      </c>
      <c r="D108" s="63">
        <v>1500</v>
      </c>
      <c r="E108" s="41">
        <v>2.4300000000000002</v>
      </c>
      <c r="F108" s="41">
        <v>2.4500000000000002</v>
      </c>
      <c r="G108" s="1">
        <f t="shared" si="6"/>
        <v>3649.9900000000002</v>
      </c>
      <c r="H108" s="2">
        <f t="shared" si="7"/>
        <v>3670.0100000000007</v>
      </c>
      <c r="I108" s="20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63" t="s">
        <v>42</v>
      </c>
      <c r="D109" s="63">
        <v>1500</v>
      </c>
      <c r="E109" s="41">
        <v>2.42</v>
      </c>
      <c r="F109" s="41">
        <v>2.56</v>
      </c>
      <c r="G109" s="1">
        <f t="shared" si="6"/>
        <v>3634.99</v>
      </c>
      <c r="H109" s="2">
        <f t="shared" si="7"/>
        <v>3835.01</v>
      </c>
      <c r="I109" s="20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63" t="s">
        <v>43</v>
      </c>
      <c r="D110" s="63">
        <v>1000</v>
      </c>
      <c r="E110" s="41">
        <v>4.79</v>
      </c>
      <c r="F110" s="41">
        <v>4.8099999999999996</v>
      </c>
      <c r="G110" s="1">
        <f t="shared" si="6"/>
        <v>4794.99</v>
      </c>
      <c r="H110" s="2">
        <f t="shared" si="7"/>
        <v>4805.01</v>
      </c>
      <c r="I110" s="20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63" t="s">
        <v>43</v>
      </c>
      <c r="D111" s="63">
        <v>500</v>
      </c>
      <c r="E111" s="41">
        <v>4.38</v>
      </c>
      <c r="F111" s="41">
        <v>4.41</v>
      </c>
      <c r="G111" s="1">
        <f t="shared" si="6"/>
        <v>2194.9899999999998</v>
      </c>
      <c r="H111" s="2">
        <f t="shared" si="7"/>
        <v>2200.0100000000002</v>
      </c>
      <c r="I111" s="20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63" t="s">
        <v>29</v>
      </c>
      <c r="D112" s="63">
        <v>1000</v>
      </c>
      <c r="E112" s="41">
        <v>2.69</v>
      </c>
      <c r="F112" s="41">
        <v>2.75</v>
      </c>
      <c r="G112" s="1">
        <f t="shared" si="6"/>
        <v>2694.99</v>
      </c>
      <c r="H112" s="2">
        <f t="shared" si="7"/>
        <v>2745.01</v>
      </c>
      <c r="I112" s="20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2"/>
      <c r="B113" s="22"/>
      <c r="C113" s="61" t="s">
        <v>43</v>
      </c>
      <c r="D113" s="61">
        <v>500</v>
      </c>
      <c r="E113" s="41">
        <v>3.99</v>
      </c>
      <c r="F113" s="41">
        <v>4.21</v>
      </c>
      <c r="G113" s="23">
        <f t="shared" si="6"/>
        <v>1999.99</v>
      </c>
      <c r="H113" s="24">
        <f t="shared" si="7"/>
        <v>2100.0100000000002</v>
      </c>
      <c r="I113" s="34">
        <f t="shared" si="8"/>
        <v>100.02000000000021</v>
      </c>
      <c r="J113" s="24">
        <f t="shared" si="9"/>
        <v>0.21999999999999975</v>
      </c>
      <c r="K113" s="23">
        <v>4.99</v>
      </c>
      <c r="L113" s="52"/>
      <c r="M113" s="79"/>
    </row>
    <row r="114" spans="1:13" x14ac:dyDescent="0.25">
      <c r="A114" s="3">
        <v>42006</v>
      </c>
      <c r="B114" s="3"/>
      <c r="C114" s="63" t="s">
        <v>43</v>
      </c>
      <c r="D114" s="63">
        <v>1000</v>
      </c>
      <c r="E114" s="42">
        <v>4.4000000000000004</v>
      </c>
      <c r="F114" s="42">
        <v>4.4400000000000004</v>
      </c>
      <c r="G114" s="1">
        <f t="shared" si="6"/>
        <v>4404.99</v>
      </c>
      <c r="H114" s="2">
        <f t="shared" si="7"/>
        <v>4435.01</v>
      </c>
      <c r="I114" s="20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3" x14ac:dyDescent="0.25">
      <c r="A115" s="3"/>
      <c r="B115" s="3"/>
      <c r="C115" s="63" t="s">
        <v>43</v>
      </c>
      <c r="D115" s="63">
        <v>1000</v>
      </c>
      <c r="E115" s="41">
        <v>4.5</v>
      </c>
      <c r="F115" s="41">
        <v>4.55</v>
      </c>
      <c r="G115" s="1">
        <f t="shared" si="6"/>
        <v>4504.99</v>
      </c>
      <c r="H115" s="2">
        <f t="shared" si="7"/>
        <v>4545.01</v>
      </c>
      <c r="I115" s="20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63" t="s">
        <v>29</v>
      </c>
      <c r="D116" s="63">
        <v>1000</v>
      </c>
      <c r="E116" s="41">
        <v>2.72</v>
      </c>
      <c r="F116" s="41"/>
      <c r="G116" s="1">
        <f t="shared" si="6"/>
        <v>2724.99</v>
      </c>
      <c r="H116" s="2">
        <f t="shared" si="7"/>
        <v>0</v>
      </c>
      <c r="I116" s="20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63" t="s">
        <v>9</v>
      </c>
      <c r="D117" s="63">
        <v>1000</v>
      </c>
      <c r="E117" s="41">
        <v>5.26</v>
      </c>
      <c r="F117" s="41">
        <v>5.36</v>
      </c>
      <c r="G117" s="1">
        <f t="shared" si="6"/>
        <v>5264.99</v>
      </c>
      <c r="H117" s="2">
        <f t="shared" si="7"/>
        <v>5355.01</v>
      </c>
      <c r="I117" s="20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2"/>
      <c r="B118" s="22"/>
      <c r="C118" s="61" t="s">
        <v>43</v>
      </c>
      <c r="D118" s="61">
        <v>500</v>
      </c>
      <c r="E118" s="41">
        <v>4.2</v>
      </c>
      <c r="F118" s="41">
        <v>4.2300000000000004</v>
      </c>
      <c r="G118" s="23">
        <f>IF(D118&gt;0,(D118*E118)+K118,0)</f>
        <v>2104.9899999999998</v>
      </c>
      <c r="H118" s="24">
        <f>IF(F118&gt;0,(D118*F118)-K118,0)</f>
        <v>2110.0100000000002</v>
      </c>
      <c r="I118" s="34">
        <f>IF(F118&gt;0,H118-G118,0)</f>
        <v>5.0200000000004366</v>
      </c>
      <c r="J118" s="24">
        <f>IF(F118&gt;0,F118-E118,0)</f>
        <v>3.0000000000000249E-2</v>
      </c>
      <c r="K118" s="23">
        <v>4.99</v>
      </c>
      <c r="L118" s="52"/>
      <c r="M118" s="79"/>
    </row>
    <row r="119" spans="1:13" x14ac:dyDescent="0.25">
      <c r="A119" s="3">
        <v>42009</v>
      </c>
      <c r="B119" s="3"/>
      <c r="C119" s="63" t="s">
        <v>45</v>
      </c>
      <c r="D119" s="63">
        <v>500</v>
      </c>
      <c r="E119" s="42">
        <v>4.07</v>
      </c>
      <c r="F119" s="42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0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3" s="7" customFormat="1" x14ac:dyDescent="0.25">
      <c r="A120" s="6"/>
      <c r="B120" s="6" t="s">
        <v>34</v>
      </c>
      <c r="C120" s="64" t="s">
        <v>9</v>
      </c>
      <c r="D120" s="63">
        <v>1000</v>
      </c>
      <c r="E120" s="42">
        <v>5.63</v>
      </c>
      <c r="F120" s="42"/>
      <c r="G120" s="20">
        <f>IF(D120&gt;0,(D120*E120)+K120,0)</f>
        <v>5639.99</v>
      </c>
      <c r="H120" s="8">
        <f>IF(F120&gt;0,(D120*F120)-K120,0)</f>
        <v>0</v>
      </c>
      <c r="I120" s="20">
        <f>IF(F120&gt;0,H120-G120,0)</f>
        <v>0</v>
      </c>
      <c r="J120" s="8">
        <f>IF(F120&gt;0,F120-E120,0)</f>
        <v>0</v>
      </c>
      <c r="K120" s="20">
        <v>9.99</v>
      </c>
      <c r="M120" s="81"/>
    </row>
    <row r="121" spans="1:13" x14ac:dyDescent="0.25">
      <c r="A121" s="3"/>
      <c r="B121" s="3" t="s">
        <v>34</v>
      </c>
      <c r="C121" s="64" t="s">
        <v>9</v>
      </c>
      <c r="D121" s="63">
        <v>1000</v>
      </c>
      <c r="E121" s="41">
        <v>5.63</v>
      </c>
      <c r="F121" s="41"/>
      <c r="G121" s="1">
        <f t="shared" si="6"/>
        <v>5639.99</v>
      </c>
      <c r="H121" s="2">
        <f t="shared" si="7"/>
        <v>0</v>
      </c>
      <c r="I121" s="20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33</v>
      </c>
      <c r="C122" s="63" t="s">
        <v>9</v>
      </c>
      <c r="D122" s="63">
        <v>1000</v>
      </c>
      <c r="E122" s="41">
        <v>5.91</v>
      </c>
      <c r="F122" s="41">
        <v>6.06</v>
      </c>
      <c r="G122" s="1">
        <f t="shared" si="6"/>
        <v>5914.99</v>
      </c>
      <c r="H122" s="2">
        <f t="shared" si="7"/>
        <v>6055.01</v>
      </c>
      <c r="I122" s="20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33</v>
      </c>
      <c r="C123" s="63" t="s">
        <v>28</v>
      </c>
      <c r="D123" s="63">
        <v>1000</v>
      </c>
      <c r="E123" s="41">
        <v>12.83</v>
      </c>
      <c r="F123" s="41"/>
      <c r="G123" s="1">
        <f t="shared" si="6"/>
        <v>12834.99</v>
      </c>
      <c r="H123" s="2">
        <f t="shared" si="7"/>
        <v>0</v>
      </c>
      <c r="I123" s="20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33</v>
      </c>
      <c r="C124" s="63" t="s">
        <v>28</v>
      </c>
      <c r="D124" s="63">
        <v>1000</v>
      </c>
      <c r="E124" s="41">
        <v>4.8499999999999996</v>
      </c>
      <c r="F124" s="41">
        <v>4.9000000000000004</v>
      </c>
      <c r="G124" s="1">
        <f t="shared" si="6"/>
        <v>4854.99</v>
      </c>
      <c r="H124" s="2">
        <f t="shared" si="7"/>
        <v>4895.01</v>
      </c>
      <c r="I124" s="20">
        <f t="shared" si="8"/>
        <v>40.020000000000437</v>
      </c>
      <c r="J124" s="2">
        <f t="shared" si="9"/>
        <v>5.0000000000000711E-2</v>
      </c>
      <c r="K124" s="1">
        <v>4.99</v>
      </c>
    </row>
    <row r="125" spans="1:13" x14ac:dyDescent="0.25">
      <c r="A125" s="22"/>
      <c r="B125" s="22" t="s">
        <v>33</v>
      </c>
      <c r="C125" s="61" t="s">
        <v>29</v>
      </c>
      <c r="D125" s="61">
        <v>1000</v>
      </c>
      <c r="E125" s="41">
        <v>2.2000000000000002</v>
      </c>
      <c r="F125" s="41">
        <v>2.2599999999999998</v>
      </c>
      <c r="G125" s="23">
        <f t="shared" si="6"/>
        <v>2204.9899999999998</v>
      </c>
      <c r="H125" s="24">
        <f t="shared" si="7"/>
        <v>2255.0100000000002</v>
      </c>
      <c r="I125" s="34">
        <f t="shared" si="8"/>
        <v>50.020000000000437</v>
      </c>
      <c r="J125" s="24">
        <f t="shared" si="9"/>
        <v>5.9999999999999609E-2</v>
      </c>
      <c r="K125" s="23">
        <v>4.99</v>
      </c>
      <c r="L125" s="52"/>
      <c r="M125" s="79"/>
    </row>
    <row r="126" spans="1:13" x14ac:dyDescent="0.25">
      <c r="A126" s="3">
        <v>42011</v>
      </c>
      <c r="B126" s="3" t="s">
        <v>33</v>
      </c>
      <c r="C126" s="63" t="s">
        <v>9</v>
      </c>
      <c r="D126" s="63">
        <v>1000</v>
      </c>
      <c r="E126" s="42">
        <v>6.15</v>
      </c>
      <c r="F126" s="42">
        <v>6.27</v>
      </c>
      <c r="G126" s="1">
        <f t="shared" si="6"/>
        <v>6154.99</v>
      </c>
      <c r="H126" s="2">
        <f t="shared" si="7"/>
        <v>6265.01</v>
      </c>
      <c r="I126" s="20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3" x14ac:dyDescent="0.25">
      <c r="A127" s="3"/>
      <c r="B127" s="3" t="s">
        <v>33</v>
      </c>
      <c r="C127" s="63" t="s">
        <v>9</v>
      </c>
      <c r="D127" s="63">
        <v>1000</v>
      </c>
      <c r="E127" s="41">
        <v>6.21</v>
      </c>
      <c r="F127" s="41">
        <v>6.32</v>
      </c>
      <c r="G127" s="1">
        <f t="shared" si="6"/>
        <v>6214.99</v>
      </c>
      <c r="H127" s="2">
        <f t="shared" si="7"/>
        <v>6315.01</v>
      </c>
      <c r="I127" s="20">
        <f t="shared" si="8"/>
        <v>100.02000000000044</v>
      </c>
      <c r="J127" s="2">
        <f t="shared" si="9"/>
        <v>0.11000000000000032</v>
      </c>
      <c r="K127" s="1">
        <v>4.99</v>
      </c>
    </row>
    <row r="128" spans="1:13" x14ac:dyDescent="0.25">
      <c r="A128" s="3"/>
      <c r="B128" s="3" t="s">
        <v>33</v>
      </c>
      <c r="C128" s="63" t="s">
        <v>29</v>
      </c>
      <c r="D128" s="63">
        <v>1000</v>
      </c>
      <c r="E128" s="41">
        <v>2.2400000000000002</v>
      </c>
      <c r="F128" s="41">
        <v>2.25</v>
      </c>
      <c r="G128" s="1">
        <f t="shared" si="6"/>
        <v>2244.9899999999998</v>
      </c>
      <c r="H128" s="2">
        <f t="shared" si="7"/>
        <v>2245.0100000000002</v>
      </c>
      <c r="I128" s="20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3" x14ac:dyDescent="0.25">
      <c r="A129" s="3"/>
      <c r="B129" s="3" t="s">
        <v>33</v>
      </c>
      <c r="C129" s="63" t="s">
        <v>9</v>
      </c>
      <c r="D129" s="63">
        <v>1000</v>
      </c>
      <c r="E129" s="41">
        <v>6.41</v>
      </c>
      <c r="F129" s="41">
        <v>6.46</v>
      </c>
      <c r="G129" s="1">
        <f t="shared" si="6"/>
        <v>6414.99</v>
      </c>
      <c r="H129" s="2">
        <f t="shared" si="7"/>
        <v>6455.01</v>
      </c>
      <c r="I129" s="20">
        <f t="shared" si="8"/>
        <v>40.020000000000437</v>
      </c>
      <c r="J129" s="2">
        <f t="shared" si="9"/>
        <v>4.9999999999999822E-2</v>
      </c>
      <c r="K129" s="1">
        <v>4.99</v>
      </c>
    </row>
    <row r="130" spans="1:13" x14ac:dyDescent="0.25">
      <c r="A130" s="22"/>
      <c r="B130" s="22"/>
      <c r="C130" s="61" t="s">
        <v>28</v>
      </c>
      <c r="D130" s="61">
        <v>1000</v>
      </c>
      <c r="E130" s="41">
        <v>4.95</v>
      </c>
      <c r="F130" s="41">
        <v>4.92</v>
      </c>
      <c r="G130" s="23">
        <f t="shared" si="6"/>
        <v>4954.99</v>
      </c>
      <c r="H130" s="24">
        <f t="shared" si="7"/>
        <v>4915.01</v>
      </c>
      <c r="I130" s="34">
        <f t="shared" si="8"/>
        <v>-39.979999999999563</v>
      </c>
      <c r="J130" s="24">
        <f t="shared" si="9"/>
        <v>-3.0000000000000249E-2</v>
      </c>
      <c r="K130" s="23">
        <v>4.99</v>
      </c>
      <c r="L130" s="52"/>
      <c r="M130" s="79"/>
    </row>
    <row r="131" spans="1:13" x14ac:dyDescent="0.25">
      <c r="A131" s="3">
        <v>42012</v>
      </c>
      <c r="B131" s="3"/>
      <c r="C131" s="63" t="s">
        <v>9</v>
      </c>
      <c r="D131" s="63">
        <v>1000</v>
      </c>
      <c r="E131" s="42">
        <v>6.31</v>
      </c>
      <c r="F131" s="42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0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3" x14ac:dyDescent="0.25">
      <c r="A132" s="3"/>
      <c r="B132" s="3"/>
      <c r="C132" s="63" t="s">
        <v>9</v>
      </c>
      <c r="D132" s="63">
        <v>1000</v>
      </c>
      <c r="E132" s="41">
        <v>6.26</v>
      </c>
      <c r="F132" s="41">
        <v>6.28</v>
      </c>
      <c r="G132" s="1">
        <f t="shared" si="10"/>
        <v>6264.99</v>
      </c>
      <c r="H132" s="2">
        <f t="shared" si="11"/>
        <v>6275.01</v>
      </c>
      <c r="I132" s="20">
        <f t="shared" si="8"/>
        <v>10.020000000000437</v>
      </c>
      <c r="J132" s="2">
        <f t="shared" si="9"/>
        <v>2.0000000000000462E-2</v>
      </c>
      <c r="K132" s="1">
        <v>4.99</v>
      </c>
    </row>
    <row r="133" spans="1:13" x14ac:dyDescent="0.25">
      <c r="A133" s="3"/>
      <c r="B133" s="3"/>
      <c r="C133" s="63" t="s">
        <v>28</v>
      </c>
      <c r="D133" s="63">
        <v>1000</v>
      </c>
      <c r="E133" s="41">
        <v>4.9000000000000004</v>
      </c>
      <c r="F133" s="41">
        <v>5.0599999999999996</v>
      </c>
      <c r="G133" s="1">
        <f t="shared" si="10"/>
        <v>4904.99</v>
      </c>
      <c r="H133" s="2">
        <f t="shared" si="11"/>
        <v>5055.01</v>
      </c>
      <c r="I133" s="20">
        <f t="shared" si="8"/>
        <v>150.02000000000044</v>
      </c>
      <c r="J133" s="2">
        <f t="shared" si="9"/>
        <v>0.15999999999999925</v>
      </c>
      <c r="K133" s="1">
        <v>4.99</v>
      </c>
    </row>
    <row r="134" spans="1:13" x14ac:dyDescent="0.25">
      <c r="A134" s="3"/>
      <c r="B134" s="3"/>
      <c r="C134" s="63" t="s">
        <v>28</v>
      </c>
      <c r="D134" s="63">
        <v>1000</v>
      </c>
      <c r="E134" s="41">
        <v>5.0599999999999996</v>
      </c>
      <c r="F134" s="41">
        <v>5.09</v>
      </c>
      <c r="G134" s="1">
        <f t="shared" si="10"/>
        <v>5064.99</v>
      </c>
      <c r="H134" s="2">
        <f t="shared" si="11"/>
        <v>5085.01</v>
      </c>
      <c r="I134" s="20">
        <f t="shared" si="8"/>
        <v>20.020000000000437</v>
      </c>
      <c r="J134" s="2">
        <f t="shared" si="9"/>
        <v>3.0000000000000249E-2</v>
      </c>
      <c r="K134" s="1">
        <v>4.99</v>
      </c>
    </row>
    <row r="135" spans="1:13" x14ac:dyDescent="0.25">
      <c r="A135" s="3"/>
      <c r="B135" s="3"/>
      <c r="C135" s="63" t="s">
        <v>45</v>
      </c>
      <c r="D135" s="63">
        <v>500</v>
      </c>
      <c r="E135" s="41">
        <v>3.41</v>
      </c>
      <c r="F135" s="41">
        <v>3.57</v>
      </c>
      <c r="G135" s="1">
        <f t="shared" si="10"/>
        <v>1709.99</v>
      </c>
      <c r="H135" s="2">
        <f t="shared" si="11"/>
        <v>1780.01</v>
      </c>
      <c r="I135" s="20">
        <f t="shared" si="8"/>
        <v>70.019999999999982</v>
      </c>
      <c r="J135" s="2">
        <f t="shared" si="9"/>
        <v>0.1599999999999997</v>
      </c>
      <c r="K135" s="1">
        <v>4.99</v>
      </c>
    </row>
    <row r="136" spans="1:13" x14ac:dyDescent="0.25">
      <c r="A136" s="22"/>
      <c r="B136" s="22"/>
      <c r="C136" s="61" t="s">
        <v>9</v>
      </c>
      <c r="D136" s="61">
        <v>1000</v>
      </c>
      <c r="E136" s="41">
        <v>6.15</v>
      </c>
      <c r="F136" s="41">
        <v>6.39</v>
      </c>
      <c r="G136" s="23">
        <f t="shared" si="10"/>
        <v>6154.99</v>
      </c>
      <c r="H136" s="24">
        <f t="shared" si="11"/>
        <v>6385.01</v>
      </c>
      <c r="I136" s="34">
        <f t="shared" si="8"/>
        <v>230.02000000000044</v>
      </c>
      <c r="J136" s="24">
        <f t="shared" si="9"/>
        <v>0.23999999999999932</v>
      </c>
      <c r="K136" s="23">
        <v>4.99</v>
      </c>
      <c r="L136" s="52"/>
      <c r="M136" s="79"/>
    </row>
    <row r="137" spans="1:13" x14ac:dyDescent="0.25">
      <c r="A137" s="3">
        <v>42013</v>
      </c>
      <c r="B137" s="3"/>
      <c r="C137" s="63" t="s">
        <v>45</v>
      </c>
      <c r="D137" s="63">
        <v>500</v>
      </c>
      <c r="E137" s="42">
        <v>3.37</v>
      </c>
      <c r="F137" s="42">
        <v>3.48</v>
      </c>
      <c r="G137" s="1">
        <f t="shared" si="10"/>
        <v>1689.99</v>
      </c>
      <c r="H137" s="2">
        <f t="shared" si="11"/>
        <v>1735.01</v>
      </c>
      <c r="I137" s="20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-119.89999999999895</v>
      </c>
    </row>
    <row r="138" spans="1:13" x14ac:dyDescent="0.25">
      <c r="A138" s="3"/>
      <c r="B138" s="3"/>
      <c r="C138" s="72" t="s">
        <v>45</v>
      </c>
      <c r="D138" s="63">
        <v>500</v>
      </c>
      <c r="E138" s="41">
        <v>4.07</v>
      </c>
      <c r="F138" s="41">
        <v>3.26</v>
      </c>
      <c r="G138" s="1">
        <f t="shared" si="10"/>
        <v>2039.9900000000002</v>
      </c>
      <c r="H138" s="2">
        <f t="shared" si="11"/>
        <v>1625.01</v>
      </c>
      <c r="I138" s="20">
        <f t="shared" si="8"/>
        <v>-414.98000000000025</v>
      </c>
      <c r="J138" s="2">
        <f t="shared" si="9"/>
        <v>-0.8100000000000005</v>
      </c>
      <c r="K138" s="1">
        <v>4.99</v>
      </c>
    </row>
    <row r="139" spans="1:13" x14ac:dyDescent="0.25">
      <c r="A139" s="3"/>
      <c r="B139" s="3"/>
      <c r="C139" s="63" t="s">
        <v>28</v>
      </c>
      <c r="D139" s="63">
        <v>1000</v>
      </c>
      <c r="E139" s="41">
        <v>5.04</v>
      </c>
      <c r="F139" s="41">
        <v>5.2</v>
      </c>
      <c r="G139" s="1">
        <f t="shared" si="10"/>
        <v>5044.99</v>
      </c>
      <c r="H139" s="2">
        <f t="shared" si="11"/>
        <v>5195.01</v>
      </c>
      <c r="I139" s="20">
        <f t="shared" si="8"/>
        <v>150.02000000000044</v>
      </c>
      <c r="J139" s="2">
        <f t="shared" si="9"/>
        <v>0.16000000000000014</v>
      </c>
      <c r="K139" s="1">
        <v>4.99</v>
      </c>
    </row>
    <row r="140" spans="1:13" x14ac:dyDescent="0.25">
      <c r="A140" s="3"/>
      <c r="B140" s="3"/>
      <c r="C140" s="63" t="s">
        <v>43</v>
      </c>
      <c r="D140" s="63">
        <v>500</v>
      </c>
      <c r="E140" s="41">
        <v>4.2</v>
      </c>
      <c r="F140" s="41">
        <v>4.42</v>
      </c>
      <c r="G140" s="1">
        <f t="shared" si="10"/>
        <v>2104.9899999999998</v>
      </c>
      <c r="H140" s="2">
        <f t="shared" si="11"/>
        <v>2205.0100000000002</v>
      </c>
      <c r="I140" s="20">
        <f t="shared" si="8"/>
        <v>100.02000000000044</v>
      </c>
      <c r="J140" s="2">
        <f t="shared" si="9"/>
        <v>0.21999999999999975</v>
      </c>
      <c r="K140" s="1">
        <v>4.99</v>
      </c>
    </row>
    <row r="141" spans="1:13" x14ac:dyDescent="0.25">
      <c r="A141" s="22"/>
      <c r="B141" s="22"/>
      <c r="C141" s="61" t="s">
        <v>42</v>
      </c>
      <c r="D141" s="61">
        <v>1000</v>
      </c>
      <c r="E141" s="41">
        <v>2.93</v>
      </c>
      <c r="F141" s="41">
        <v>2.94</v>
      </c>
      <c r="G141" s="23">
        <f t="shared" si="10"/>
        <v>2934.99</v>
      </c>
      <c r="H141" s="24">
        <f t="shared" si="11"/>
        <v>2935.01</v>
      </c>
      <c r="I141" s="34">
        <f t="shared" si="8"/>
        <v>2.0000000000436557E-2</v>
      </c>
      <c r="J141" s="24">
        <f t="shared" si="9"/>
        <v>9.9999999999997868E-3</v>
      </c>
      <c r="K141" s="23">
        <v>4.99</v>
      </c>
      <c r="L141" s="52"/>
      <c r="M141" s="79"/>
    </row>
    <row r="142" spans="1:13" x14ac:dyDescent="0.25">
      <c r="A142" s="3">
        <v>42016</v>
      </c>
      <c r="B142" s="3"/>
      <c r="C142" s="64" t="s">
        <v>43</v>
      </c>
      <c r="D142" s="63">
        <v>500</v>
      </c>
      <c r="E142" s="42">
        <v>3.65</v>
      </c>
      <c r="F142" s="42">
        <v>3.73</v>
      </c>
      <c r="G142" s="1">
        <f t="shared" si="10"/>
        <v>1829.99</v>
      </c>
      <c r="H142" s="2">
        <f t="shared" si="11"/>
        <v>1860.01</v>
      </c>
      <c r="I142" s="20">
        <f t="shared" si="8"/>
        <v>30.019999999999982</v>
      </c>
      <c r="J142" s="2">
        <f t="shared" si="9"/>
        <v>8.0000000000000071E-2</v>
      </c>
      <c r="K142" s="1">
        <v>4.99</v>
      </c>
      <c r="L142" s="2">
        <f>SUM(I142:I145)</f>
        <v>180.08000000000129</v>
      </c>
    </row>
    <row r="143" spans="1:13" x14ac:dyDescent="0.25">
      <c r="A143" s="3"/>
      <c r="B143" s="3"/>
      <c r="C143" s="63" t="s">
        <v>9</v>
      </c>
      <c r="D143" s="63">
        <v>500</v>
      </c>
      <c r="E143" s="41">
        <v>7.18</v>
      </c>
      <c r="F143" s="41">
        <v>7.24</v>
      </c>
      <c r="G143" s="1">
        <f t="shared" si="10"/>
        <v>3594.99</v>
      </c>
      <c r="H143" s="2">
        <f t="shared" si="11"/>
        <v>3615.01</v>
      </c>
      <c r="I143" s="20">
        <f t="shared" si="8"/>
        <v>20.020000000000437</v>
      </c>
      <c r="J143" s="2">
        <f t="shared" si="9"/>
        <v>6.0000000000000497E-2</v>
      </c>
      <c r="K143" s="1">
        <v>4.99</v>
      </c>
    </row>
    <row r="144" spans="1:13" x14ac:dyDescent="0.25">
      <c r="A144" s="3"/>
      <c r="B144" s="3" t="s">
        <v>33</v>
      </c>
      <c r="C144" s="63" t="s">
        <v>28</v>
      </c>
      <c r="D144" s="63">
        <v>1000</v>
      </c>
      <c r="E144" s="41">
        <v>4.63</v>
      </c>
      <c r="F144" s="41">
        <v>4.8</v>
      </c>
      <c r="G144" s="1">
        <f t="shared" si="10"/>
        <v>4634.99</v>
      </c>
      <c r="H144" s="2">
        <f t="shared" si="11"/>
        <v>4795.01</v>
      </c>
      <c r="I144" s="20">
        <f t="shared" si="8"/>
        <v>160.02000000000044</v>
      </c>
      <c r="J144" s="2">
        <f t="shared" si="9"/>
        <v>0.16999999999999993</v>
      </c>
      <c r="K144" s="1">
        <v>4.99</v>
      </c>
    </row>
    <row r="145" spans="1:13" x14ac:dyDescent="0.25">
      <c r="A145" s="22"/>
      <c r="B145" s="22"/>
      <c r="C145" s="61" t="s">
        <v>9</v>
      </c>
      <c r="D145" s="61">
        <v>500</v>
      </c>
      <c r="E145" s="41">
        <v>7.18</v>
      </c>
      <c r="F145" s="41">
        <v>7.14</v>
      </c>
      <c r="G145" s="23">
        <f t="shared" si="10"/>
        <v>3594.99</v>
      </c>
      <c r="H145" s="24">
        <f t="shared" si="11"/>
        <v>3565.01</v>
      </c>
      <c r="I145" s="34">
        <f t="shared" si="8"/>
        <v>-29.979999999999563</v>
      </c>
      <c r="J145" s="24">
        <f t="shared" si="9"/>
        <v>-4.0000000000000036E-2</v>
      </c>
      <c r="K145" s="23">
        <v>4.99</v>
      </c>
      <c r="L145" s="52"/>
      <c r="M145" s="79"/>
    </row>
    <row r="146" spans="1:13" x14ac:dyDescent="0.25">
      <c r="A146" s="3">
        <v>42017</v>
      </c>
      <c r="B146" s="3"/>
      <c r="C146" s="63" t="s">
        <v>9</v>
      </c>
      <c r="D146" s="63">
        <v>500</v>
      </c>
      <c r="E146" s="42">
        <v>7.08</v>
      </c>
      <c r="F146" s="42">
        <v>7.14</v>
      </c>
      <c r="G146" s="1">
        <f t="shared" si="10"/>
        <v>3544.99</v>
      </c>
      <c r="H146" s="2">
        <f t="shared" si="11"/>
        <v>3565.01</v>
      </c>
      <c r="I146" s="20">
        <f t="shared" si="8"/>
        <v>20.020000000000437</v>
      </c>
      <c r="J146" s="2">
        <f t="shared" si="9"/>
        <v>5.9999999999999609E-2</v>
      </c>
      <c r="K146" s="1">
        <v>4.99</v>
      </c>
      <c r="L146" s="2">
        <f>SUM(I146:I149)</f>
        <v>345.08000000000129</v>
      </c>
    </row>
    <row r="147" spans="1:13" x14ac:dyDescent="0.25">
      <c r="A147" s="3"/>
      <c r="B147" s="3" t="s">
        <v>33</v>
      </c>
      <c r="C147" s="63" t="s">
        <v>9</v>
      </c>
      <c r="D147" s="63">
        <v>700</v>
      </c>
      <c r="E147" s="41">
        <v>6.86</v>
      </c>
      <c r="F147" s="41">
        <v>6.96</v>
      </c>
      <c r="G147" s="1">
        <f t="shared" si="10"/>
        <v>4806.99</v>
      </c>
      <c r="H147" s="2">
        <f t="shared" si="11"/>
        <v>4867.01</v>
      </c>
      <c r="I147" s="20">
        <f t="shared" si="8"/>
        <v>60.020000000000437</v>
      </c>
      <c r="J147" s="2">
        <f t="shared" si="9"/>
        <v>9.9999999999999645E-2</v>
      </c>
      <c r="K147" s="1">
        <v>4.99</v>
      </c>
    </row>
    <row r="148" spans="1:13" x14ac:dyDescent="0.25">
      <c r="A148" s="3"/>
      <c r="B148" s="3" t="s">
        <v>33</v>
      </c>
      <c r="C148" s="63" t="s">
        <v>9</v>
      </c>
      <c r="D148" s="63">
        <v>700</v>
      </c>
      <c r="E148" s="41">
        <v>6.86</v>
      </c>
      <c r="F148" s="41">
        <v>7.16</v>
      </c>
      <c r="G148" s="1">
        <f t="shared" si="10"/>
        <v>4806.99</v>
      </c>
      <c r="H148" s="2">
        <f t="shared" si="11"/>
        <v>5007.01</v>
      </c>
      <c r="I148" s="20">
        <f t="shared" si="8"/>
        <v>200.02000000000044</v>
      </c>
      <c r="J148" s="2">
        <f t="shared" si="9"/>
        <v>0.29999999999999982</v>
      </c>
      <c r="K148" s="1">
        <v>4.99</v>
      </c>
    </row>
    <row r="149" spans="1:13" x14ac:dyDescent="0.25">
      <c r="A149" s="22"/>
      <c r="B149" s="22"/>
      <c r="C149" s="61" t="s">
        <v>45</v>
      </c>
      <c r="D149" s="61">
        <v>500</v>
      </c>
      <c r="E149" s="41">
        <v>3.1</v>
      </c>
      <c r="F149" s="41">
        <v>3.26</v>
      </c>
      <c r="G149" s="23">
        <f t="shared" si="10"/>
        <v>1557.49</v>
      </c>
      <c r="H149" s="24">
        <f t="shared" si="11"/>
        <v>1622.51</v>
      </c>
      <c r="I149" s="34">
        <f t="shared" si="8"/>
        <v>65.019999999999982</v>
      </c>
      <c r="J149" s="24">
        <f t="shared" si="9"/>
        <v>0.1599999999999997</v>
      </c>
      <c r="K149" s="23">
        <v>7.49</v>
      </c>
      <c r="L149" s="52"/>
      <c r="M149" s="79"/>
    </row>
    <row r="150" spans="1:13" x14ac:dyDescent="0.25">
      <c r="A150" s="3">
        <v>42018</v>
      </c>
      <c r="B150" s="3"/>
      <c r="C150" s="63" t="s">
        <v>43</v>
      </c>
      <c r="D150" s="63">
        <v>1000</v>
      </c>
      <c r="E150" s="42">
        <v>4.5</v>
      </c>
      <c r="F150" s="42">
        <v>4.55</v>
      </c>
      <c r="G150" s="1">
        <f t="shared" si="10"/>
        <v>4504.99</v>
      </c>
      <c r="H150" s="2">
        <f t="shared" si="11"/>
        <v>4545.01</v>
      </c>
      <c r="I150" s="20">
        <f t="shared" si="8"/>
        <v>40.020000000000437</v>
      </c>
      <c r="J150" s="2">
        <f t="shared" si="9"/>
        <v>4.9999999999999822E-2</v>
      </c>
      <c r="K150" s="1">
        <v>4.99</v>
      </c>
      <c r="L150" s="2">
        <f>SUM(I150:I157)</f>
        <v>255.16000000000304</v>
      </c>
    </row>
    <row r="151" spans="1:13" x14ac:dyDescent="0.25">
      <c r="A151" s="3"/>
      <c r="B151" s="3"/>
      <c r="C151" s="63" t="s">
        <v>43</v>
      </c>
      <c r="D151" s="63">
        <v>1000</v>
      </c>
      <c r="E151" s="41">
        <v>4.62</v>
      </c>
      <c r="F151" s="41">
        <v>4.63</v>
      </c>
      <c r="G151" s="1">
        <f t="shared" si="10"/>
        <v>4624.99</v>
      </c>
      <c r="H151" s="2">
        <f t="shared" si="11"/>
        <v>4625.01</v>
      </c>
      <c r="I151" s="20">
        <f t="shared" ref="I151:I214" si="12">IF(F151&gt;0,H151-G151,0)</f>
        <v>2.0000000000436557E-2</v>
      </c>
      <c r="J151" s="2">
        <f t="shared" ref="J151:J214" si="13">IF(F151&gt;0,F151-E151,0)</f>
        <v>9.9999999999997868E-3</v>
      </c>
      <c r="K151" s="1">
        <v>4.99</v>
      </c>
    </row>
    <row r="152" spans="1:13" x14ac:dyDescent="0.25">
      <c r="A152" s="3"/>
      <c r="B152" s="3"/>
      <c r="C152" s="63" t="s">
        <v>43</v>
      </c>
      <c r="D152" s="63">
        <v>500</v>
      </c>
      <c r="E152" s="41">
        <v>4.55</v>
      </c>
      <c r="F152" s="41">
        <v>4.62</v>
      </c>
      <c r="G152" s="1">
        <f t="shared" si="10"/>
        <v>2279.9899999999998</v>
      </c>
      <c r="H152" s="2">
        <f t="shared" si="11"/>
        <v>2305.0100000000002</v>
      </c>
      <c r="I152" s="20">
        <f t="shared" si="12"/>
        <v>25.020000000000437</v>
      </c>
      <c r="J152" s="2">
        <f t="shared" si="13"/>
        <v>7.0000000000000284E-2</v>
      </c>
      <c r="K152" s="1">
        <v>4.99</v>
      </c>
    </row>
    <row r="153" spans="1:13" x14ac:dyDescent="0.25">
      <c r="A153" s="3"/>
      <c r="B153" s="3"/>
      <c r="C153" s="63" t="s">
        <v>45</v>
      </c>
      <c r="D153" s="63">
        <v>500</v>
      </c>
      <c r="E153" s="41">
        <v>2.91</v>
      </c>
      <c r="F153" s="41">
        <v>3.01</v>
      </c>
      <c r="G153" s="1">
        <f t="shared" si="10"/>
        <v>1459.99</v>
      </c>
      <c r="H153" s="2">
        <f t="shared" si="11"/>
        <v>1500.01</v>
      </c>
      <c r="I153" s="20">
        <f t="shared" si="12"/>
        <v>40.019999999999982</v>
      </c>
      <c r="J153" s="2">
        <f t="shared" si="13"/>
        <v>9.9999999999999645E-2</v>
      </c>
      <c r="K153" s="1">
        <v>4.99</v>
      </c>
    </row>
    <row r="154" spans="1:13" x14ac:dyDescent="0.25">
      <c r="A154" s="3"/>
      <c r="B154" s="3"/>
      <c r="C154" s="63" t="s">
        <v>45</v>
      </c>
      <c r="D154" s="63">
        <v>1000</v>
      </c>
      <c r="E154" s="41">
        <v>3.02</v>
      </c>
      <c r="F154" s="41">
        <v>3.03</v>
      </c>
      <c r="G154" s="1">
        <f t="shared" si="10"/>
        <v>3024.99</v>
      </c>
      <c r="H154" s="2">
        <f t="shared" si="11"/>
        <v>3025.01</v>
      </c>
      <c r="I154" s="20">
        <f t="shared" si="12"/>
        <v>2.0000000000436557E-2</v>
      </c>
      <c r="J154" s="2">
        <f t="shared" si="13"/>
        <v>9.9999999999997868E-3</v>
      </c>
      <c r="K154" s="1">
        <v>4.99</v>
      </c>
    </row>
    <row r="155" spans="1:13" x14ac:dyDescent="0.25">
      <c r="A155" s="3"/>
      <c r="B155" s="3"/>
      <c r="C155" s="63" t="s">
        <v>45</v>
      </c>
      <c r="D155" s="63">
        <v>1000</v>
      </c>
      <c r="E155" s="41">
        <v>3.32</v>
      </c>
      <c r="F155" s="41">
        <v>3.47</v>
      </c>
      <c r="G155" s="1">
        <f t="shared" si="10"/>
        <v>3324.99</v>
      </c>
      <c r="H155" s="2">
        <f t="shared" si="11"/>
        <v>3465.01</v>
      </c>
      <c r="I155" s="20">
        <f t="shared" si="12"/>
        <v>140.02000000000044</v>
      </c>
      <c r="J155" s="2">
        <f t="shared" si="13"/>
        <v>0.15000000000000036</v>
      </c>
      <c r="K155" s="1">
        <v>4.99</v>
      </c>
    </row>
    <row r="156" spans="1:13" x14ac:dyDescent="0.25">
      <c r="A156" s="3"/>
      <c r="B156" s="3"/>
      <c r="C156" s="63" t="s">
        <v>43</v>
      </c>
      <c r="D156" s="63">
        <v>1000</v>
      </c>
      <c r="E156" s="41">
        <v>5.18</v>
      </c>
      <c r="F156" s="41">
        <v>5.2</v>
      </c>
      <c r="G156" s="1">
        <f t="shared" si="10"/>
        <v>5184.99</v>
      </c>
      <c r="H156" s="2">
        <f t="shared" si="11"/>
        <v>5195.01</v>
      </c>
      <c r="I156" s="20">
        <f t="shared" si="12"/>
        <v>10.020000000000437</v>
      </c>
      <c r="J156" s="2">
        <f t="shared" si="13"/>
        <v>2.0000000000000462E-2</v>
      </c>
      <c r="K156" s="1">
        <v>4.99</v>
      </c>
    </row>
    <row r="157" spans="1:13" x14ac:dyDescent="0.25">
      <c r="A157" s="22"/>
      <c r="B157" s="22"/>
      <c r="C157" s="61" t="s">
        <v>43</v>
      </c>
      <c r="D157" s="61">
        <v>1000</v>
      </c>
      <c r="E157" s="41">
        <v>5.18</v>
      </c>
      <c r="F157" s="41">
        <v>5.19</v>
      </c>
      <c r="G157" s="23">
        <f t="shared" si="10"/>
        <v>5184.99</v>
      </c>
      <c r="H157" s="24">
        <f t="shared" si="11"/>
        <v>5185.01</v>
      </c>
      <c r="I157" s="34">
        <f t="shared" si="12"/>
        <v>2.0000000000436557E-2</v>
      </c>
      <c r="J157" s="24">
        <f t="shared" si="13"/>
        <v>1.0000000000000675E-2</v>
      </c>
      <c r="K157" s="23">
        <v>4.99</v>
      </c>
      <c r="L157" s="52"/>
      <c r="M157" s="79"/>
    </row>
    <row r="158" spans="1:13" x14ac:dyDescent="0.25">
      <c r="A158" s="3">
        <v>42019</v>
      </c>
      <c r="B158" s="3"/>
      <c r="C158" s="63" t="s">
        <v>43</v>
      </c>
      <c r="D158" s="63">
        <v>500</v>
      </c>
      <c r="E158" s="42">
        <v>5.19</v>
      </c>
      <c r="F158" s="42">
        <v>5.42</v>
      </c>
      <c r="G158" s="1">
        <f t="shared" si="10"/>
        <v>2599.9899999999998</v>
      </c>
      <c r="H158" s="2">
        <f t="shared" si="11"/>
        <v>2705.01</v>
      </c>
      <c r="I158" s="20">
        <f t="shared" si="12"/>
        <v>105.02000000000044</v>
      </c>
      <c r="J158" s="2">
        <f t="shared" si="13"/>
        <v>0.22999999999999954</v>
      </c>
      <c r="K158" s="1">
        <v>4.99</v>
      </c>
      <c r="L158" s="2">
        <f>SUM(I158:I165)</f>
        <v>-141.87999999999738</v>
      </c>
    </row>
    <row r="159" spans="1:13" x14ac:dyDescent="0.25">
      <c r="A159" s="3"/>
      <c r="B159" s="3"/>
      <c r="C159" s="63" t="s">
        <v>43</v>
      </c>
      <c r="D159" s="63">
        <v>500</v>
      </c>
      <c r="E159" s="41">
        <v>5.09</v>
      </c>
      <c r="F159" s="41">
        <v>5.37</v>
      </c>
      <c r="G159" s="1">
        <f t="shared" si="10"/>
        <v>2549.9899999999998</v>
      </c>
      <c r="H159" s="2">
        <f t="shared" si="11"/>
        <v>2680.01</v>
      </c>
      <c r="I159" s="20">
        <f t="shared" si="12"/>
        <v>130.02000000000044</v>
      </c>
      <c r="J159" s="2">
        <f t="shared" si="13"/>
        <v>0.28000000000000025</v>
      </c>
      <c r="K159" s="1">
        <v>4.99</v>
      </c>
    </row>
    <row r="160" spans="1:13" x14ac:dyDescent="0.25">
      <c r="A160" s="3"/>
      <c r="B160" s="3"/>
      <c r="C160" s="64" t="s">
        <v>43</v>
      </c>
      <c r="D160" s="63">
        <v>500</v>
      </c>
      <c r="E160" s="41">
        <v>5.21</v>
      </c>
      <c r="F160" s="41"/>
      <c r="G160" s="1">
        <f t="shared" si="10"/>
        <v>2609.9899999999998</v>
      </c>
      <c r="H160" s="2">
        <f t="shared" si="11"/>
        <v>0</v>
      </c>
      <c r="I160" s="20">
        <f t="shared" si="12"/>
        <v>0</v>
      </c>
      <c r="J160" s="2">
        <f t="shared" si="13"/>
        <v>0</v>
      </c>
      <c r="K160" s="1">
        <v>4.99</v>
      </c>
    </row>
    <row r="161" spans="1:14" x14ac:dyDescent="0.25">
      <c r="A161" s="3"/>
      <c r="B161" s="3"/>
      <c r="C161" s="64" t="s">
        <v>43</v>
      </c>
      <c r="D161" s="63">
        <v>500</v>
      </c>
      <c r="E161" s="41">
        <v>5.03</v>
      </c>
      <c r="F161" s="41"/>
      <c r="G161" s="1">
        <f t="shared" si="10"/>
        <v>2519.9899999999998</v>
      </c>
      <c r="H161" s="2">
        <f t="shared" si="11"/>
        <v>0</v>
      </c>
      <c r="I161" s="20">
        <f t="shared" si="12"/>
        <v>0</v>
      </c>
      <c r="J161" s="2">
        <f t="shared" si="13"/>
        <v>0</v>
      </c>
      <c r="K161" s="1">
        <v>4.99</v>
      </c>
    </row>
    <row r="162" spans="1:14" x14ac:dyDescent="0.25">
      <c r="A162" s="3"/>
      <c r="B162" s="3"/>
      <c r="C162" s="63" t="s">
        <v>43</v>
      </c>
      <c r="D162" s="63">
        <v>500</v>
      </c>
      <c r="E162" s="41">
        <v>4.5999999999999996</v>
      </c>
      <c r="F162" s="41">
        <v>4.71</v>
      </c>
      <c r="G162" s="1">
        <f t="shared" si="10"/>
        <v>2304.9899999999998</v>
      </c>
      <c r="H162" s="2">
        <f t="shared" si="11"/>
        <v>2350.0100000000002</v>
      </c>
      <c r="I162" s="20">
        <f t="shared" si="12"/>
        <v>45.020000000000437</v>
      </c>
      <c r="J162" s="2">
        <f t="shared" si="13"/>
        <v>0.11000000000000032</v>
      </c>
      <c r="K162" s="1">
        <v>4.99</v>
      </c>
    </row>
    <row r="163" spans="1:14" x14ac:dyDescent="0.25">
      <c r="A163" s="3"/>
      <c r="B163" s="3"/>
      <c r="C163" s="63" t="s">
        <v>28</v>
      </c>
      <c r="D163" s="63">
        <v>800</v>
      </c>
      <c r="E163" s="41">
        <v>5.44</v>
      </c>
      <c r="F163" s="41">
        <v>5.5</v>
      </c>
      <c r="G163" s="1">
        <f t="shared" si="10"/>
        <v>4356.99</v>
      </c>
      <c r="H163" s="2">
        <f t="shared" si="11"/>
        <v>4395.01</v>
      </c>
      <c r="I163" s="20">
        <f t="shared" si="12"/>
        <v>38.020000000000437</v>
      </c>
      <c r="J163" s="2">
        <f t="shared" si="13"/>
        <v>5.9999999999999609E-2</v>
      </c>
      <c r="K163" s="1">
        <v>4.99</v>
      </c>
    </row>
    <row r="164" spans="1:14" x14ac:dyDescent="0.25">
      <c r="A164" s="3"/>
      <c r="B164" s="3"/>
      <c r="C164" s="63" t="s">
        <v>28</v>
      </c>
      <c r="D164" s="63">
        <v>800</v>
      </c>
      <c r="E164" s="41">
        <v>5.62</v>
      </c>
      <c r="F164" s="41">
        <v>5.71</v>
      </c>
      <c r="G164" s="1">
        <f t="shared" si="10"/>
        <v>4500.99</v>
      </c>
      <c r="H164" s="2">
        <f t="shared" si="11"/>
        <v>4563.01</v>
      </c>
      <c r="I164" s="20">
        <f t="shared" si="12"/>
        <v>62.020000000000437</v>
      </c>
      <c r="J164" s="2">
        <f t="shared" si="13"/>
        <v>8.9999999999999858E-2</v>
      </c>
      <c r="K164" s="1">
        <v>4.99</v>
      </c>
    </row>
    <row r="165" spans="1:14" x14ac:dyDescent="0.25">
      <c r="A165" s="22"/>
      <c r="B165" s="22"/>
      <c r="C165" s="65" t="s">
        <v>28</v>
      </c>
      <c r="D165" s="61">
        <v>800</v>
      </c>
      <c r="E165" s="41">
        <v>5.79</v>
      </c>
      <c r="F165" s="41">
        <v>5.15</v>
      </c>
      <c r="G165" s="23">
        <f t="shared" si="10"/>
        <v>4636.99</v>
      </c>
      <c r="H165" s="24">
        <f t="shared" si="11"/>
        <v>4115.01</v>
      </c>
      <c r="I165" s="34">
        <f t="shared" si="12"/>
        <v>-521.97999999999956</v>
      </c>
      <c r="J165" s="24">
        <f t="shared" si="13"/>
        <v>-0.63999999999999968</v>
      </c>
      <c r="K165" s="23">
        <v>4.99</v>
      </c>
      <c r="L165" s="52"/>
      <c r="M165" s="79"/>
    </row>
    <row r="166" spans="1:14" x14ac:dyDescent="0.25">
      <c r="A166" s="3">
        <v>42020</v>
      </c>
      <c r="B166" s="3"/>
      <c r="C166" s="64" t="s">
        <v>45</v>
      </c>
      <c r="D166" s="63">
        <v>1000</v>
      </c>
      <c r="E166" s="42">
        <v>3.47</v>
      </c>
      <c r="F166" s="42"/>
      <c r="G166" s="1">
        <f t="shared" si="10"/>
        <v>3474.99</v>
      </c>
      <c r="H166" s="2">
        <f t="shared" si="11"/>
        <v>0</v>
      </c>
      <c r="I166" s="20">
        <f t="shared" si="12"/>
        <v>0</v>
      </c>
      <c r="J166" s="2">
        <f t="shared" si="13"/>
        <v>0</v>
      </c>
      <c r="K166" s="1">
        <v>4.99</v>
      </c>
    </row>
    <row r="167" spans="1:14" x14ac:dyDescent="0.25">
      <c r="A167" s="22"/>
      <c r="B167" s="22"/>
      <c r="C167" s="61" t="s">
        <v>9</v>
      </c>
      <c r="D167" s="61">
        <v>500</v>
      </c>
      <c r="E167" s="41">
        <v>7.5</v>
      </c>
      <c r="F167" s="41">
        <v>7.55</v>
      </c>
      <c r="G167" s="23">
        <f t="shared" si="10"/>
        <v>3754.99</v>
      </c>
      <c r="H167" s="24">
        <f t="shared" si="11"/>
        <v>3770.01</v>
      </c>
      <c r="I167" s="34">
        <f t="shared" si="12"/>
        <v>15.020000000000437</v>
      </c>
      <c r="J167" s="24">
        <f t="shared" si="13"/>
        <v>4.9999999999999822E-2</v>
      </c>
      <c r="K167" s="23">
        <v>4.99</v>
      </c>
      <c r="L167" s="52"/>
      <c r="M167" s="79"/>
    </row>
    <row r="168" spans="1:14" x14ac:dyDescent="0.25">
      <c r="A168" s="3">
        <v>42023</v>
      </c>
      <c r="B168" s="3" t="s">
        <v>33</v>
      </c>
      <c r="C168" s="74" t="s">
        <v>28</v>
      </c>
      <c r="D168" s="63">
        <v>1800</v>
      </c>
      <c r="E168" s="42">
        <v>5.1100000000000003</v>
      </c>
      <c r="F168" s="42">
        <v>5.14</v>
      </c>
      <c r="G168" s="1">
        <f t="shared" si="10"/>
        <v>9202.99</v>
      </c>
      <c r="H168" s="2">
        <f t="shared" si="11"/>
        <v>9247.01</v>
      </c>
      <c r="I168" s="20">
        <f t="shared" si="12"/>
        <v>44.020000000000437</v>
      </c>
      <c r="J168" s="2">
        <f t="shared" si="13"/>
        <v>2.9999999999999361E-2</v>
      </c>
      <c r="K168" s="1">
        <v>4.99</v>
      </c>
      <c r="N168" t="s">
        <v>54</v>
      </c>
    </row>
    <row r="169" spans="1:14" x14ac:dyDescent="0.25">
      <c r="A169" s="3"/>
      <c r="B169" s="3" t="s">
        <v>33</v>
      </c>
      <c r="C169" s="63" t="s">
        <v>9</v>
      </c>
      <c r="D169" s="63">
        <v>500</v>
      </c>
      <c r="E169" s="41">
        <v>7.54</v>
      </c>
      <c r="F169" s="41">
        <v>7.61</v>
      </c>
      <c r="G169" s="1">
        <f t="shared" si="10"/>
        <v>3774.99</v>
      </c>
      <c r="H169" s="2">
        <f t="shared" si="11"/>
        <v>3800.01</v>
      </c>
      <c r="I169" s="20">
        <f t="shared" si="12"/>
        <v>25.020000000000437</v>
      </c>
      <c r="J169" s="2">
        <f t="shared" si="13"/>
        <v>7.0000000000000284E-2</v>
      </c>
      <c r="K169" s="1">
        <v>4.99</v>
      </c>
    </row>
    <row r="170" spans="1:14" x14ac:dyDescent="0.25">
      <c r="A170" s="22"/>
      <c r="B170" s="22" t="s">
        <v>33</v>
      </c>
      <c r="C170" s="61" t="s">
        <v>9</v>
      </c>
      <c r="D170" s="61">
        <v>1000</v>
      </c>
      <c r="E170" s="41">
        <v>7.65</v>
      </c>
      <c r="F170" s="41">
        <v>8.15</v>
      </c>
      <c r="G170" s="23">
        <f t="shared" si="10"/>
        <v>7654.99</v>
      </c>
      <c r="H170" s="24">
        <f t="shared" si="11"/>
        <v>8145.01</v>
      </c>
      <c r="I170" s="34">
        <f t="shared" si="12"/>
        <v>490.02000000000044</v>
      </c>
      <c r="J170" s="24">
        <f t="shared" si="13"/>
        <v>0.5</v>
      </c>
      <c r="K170" s="23">
        <v>4.99</v>
      </c>
    </row>
    <row r="171" spans="1:14" x14ac:dyDescent="0.25">
      <c r="A171" s="3">
        <v>42024</v>
      </c>
      <c r="B171" s="3" t="s">
        <v>33</v>
      </c>
      <c r="C171" s="63" t="s">
        <v>28</v>
      </c>
      <c r="D171" s="63">
        <v>1000</v>
      </c>
      <c r="E171" s="42">
        <v>5.96</v>
      </c>
      <c r="F171" s="42">
        <v>5.97</v>
      </c>
      <c r="G171" s="1">
        <f t="shared" si="10"/>
        <v>5964.99</v>
      </c>
      <c r="H171" s="2">
        <f t="shared" si="11"/>
        <v>5965.01</v>
      </c>
      <c r="I171" s="20">
        <f t="shared" si="12"/>
        <v>2.0000000000436557E-2</v>
      </c>
      <c r="J171" s="2">
        <f t="shared" si="13"/>
        <v>9.9999999999997868E-3</v>
      </c>
      <c r="K171" s="1">
        <v>4.99</v>
      </c>
    </row>
    <row r="172" spans="1:14" x14ac:dyDescent="0.25">
      <c r="A172" s="3"/>
      <c r="B172" s="3" t="s">
        <v>33</v>
      </c>
      <c r="C172" s="63" t="s">
        <v>9</v>
      </c>
      <c r="D172" s="63">
        <v>500</v>
      </c>
      <c r="E172" s="41">
        <v>8.3000000000000007</v>
      </c>
      <c r="F172" s="41">
        <v>8.23</v>
      </c>
      <c r="G172" s="1">
        <f t="shared" si="10"/>
        <v>4154.99</v>
      </c>
      <c r="H172" s="2">
        <f t="shared" si="11"/>
        <v>4110.01</v>
      </c>
      <c r="I172" s="20">
        <f t="shared" si="12"/>
        <v>-44.979999999999563</v>
      </c>
      <c r="J172" s="2">
        <f t="shared" si="13"/>
        <v>-7.0000000000000284E-2</v>
      </c>
      <c r="K172" s="1">
        <v>4.99</v>
      </c>
    </row>
    <row r="173" spans="1:14" x14ac:dyDescent="0.25">
      <c r="A173" s="3"/>
      <c r="B173" s="3" t="s">
        <v>33</v>
      </c>
      <c r="C173" s="63" t="s">
        <v>9</v>
      </c>
      <c r="D173" s="63">
        <v>500</v>
      </c>
      <c r="E173" s="41">
        <v>8.25</v>
      </c>
      <c r="F173" s="41">
        <v>8.34</v>
      </c>
      <c r="G173" s="1">
        <f t="shared" si="10"/>
        <v>4129.99</v>
      </c>
      <c r="H173" s="2">
        <f t="shared" si="11"/>
        <v>4165.01</v>
      </c>
      <c r="I173" s="20">
        <f t="shared" si="12"/>
        <v>35.020000000000437</v>
      </c>
      <c r="J173" s="2">
        <f t="shared" si="13"/>
        <v>8.9999999999999858E-2</v>
      </c>
      <c r="K173" s="1">
        <v>4.99</v>
      </c>
    </row>
    <row r="174" spans="1:14" x14ac:dyDescent="0.25">
      <c r="A174" s="3"/>
      <c r="B174" s="3" t="s">
        <v>33</v>
      </c>
      <c r="C174" s="64" t="s">
        <v>43</v>
      </c>
      <c r="D174" s="63">
        <v>1000</v>
      </c>
      <c r="E174" s="41">
        <v>3.49</v>
      </c>
      <c r="F174" s="41">
        <v>4.12</v>
      </c>
      <c r="G174" s="1">
        <f t="shared" si="10"/>
        <v>3494.99</v>
      </c>
      <c r="H174" s="2">
        <f t="shared" si="11"/>
        <v>4115.01</v>
      </c>
      <c r="I174" s="20">
        <f t="shared" si="12"/>
        <v>620.02000000000044</v>
      </c>
      <c r="J174" s="2">
        <f t="shared" si="13"/>
        <v>0.62999999999999989</v>
      </c>
      <c r="K174" s="1">
        <v>4.99</v>
      </c>
      <c r="M174" s="10">
        <v>1.2067000000000001</v>
      </c>
    </row>
    <row r="175" spans="1:14" x14ac:dyDescent="0.25">
      <c r="A175" s="3"/>
      <c r="B175" s="3" t="s">
        <v>33</v>
      </c>
      <c r="C175" s="64" t="s">
        <v>45</v>
      </c>
      <c r="D175" s="63">
        <v>350</v>
      </c>
      <c r="E175" s="41">
        <v>2.98</v>
      </c>
      <c r="F175" s="41">
        <v>3.11</v>
      </c>
      <c r="G175" s="1">
        <f t="shared" si="10"/>
        <v>1047.99</v>
      </c>
      <c r="H175" s="2">
        <f t="shared" si="11"/>
        <v>1083.51</v>
      </c>
      <c r="I175" s="20">
        <f t="shared" si="12"/>
        <v>35.519999999999982</v>
      </c>
      <c r="J175" s="2">
        <f t="shared" si="13"/>
        <v>0.12999999999999989</v>
      </c>
      <c r="K175" s="1">
        <v>4.99</v>
      </c>
      <c r="M175" s="10">
        <v>1.2067000000000001</v>
      </c>
    </row>
    <row r="176" spans="1:14" x14ac:dyDescent="0.25">
      <c r="A176" s="3"/>
      <c r="B176" s="3"/>
      <c r="C176" s="60"/>
      <c r="D176" s="63"/>
      <c r="E176" s="41"/>
      <c r="F176" s="41"/>
      <c r="G176" s="1">
        <f t="shared" si="10"/>
        <v>0</v>
      </c>
      <c r="H176" s="2">
        <f t="shared" si="11"/>
        <v>0</v>
      </c>
      <c r="I176" s="20">
        <f t="shared" si="12"/>
        <v>0</v>
      </c>
      <c r="J176" s="2">
        <f t="shared" si="13"/>
        <v>0</v>
      </c>
      <c r="K176" s="1">
        <v>4.99</v>
      </c>
    </row>
    <row r="177" spans="1:11" x14ac:dyDescent="0.25">
      <c r="A177" s="3"/>
      <c r="B177" s="3"/>
      <c r="C177" s="60"/>
      <c r="D177" s="60"/>
      <c r="E177" s="41"/>
      <c r="F177" s="41"/>
      <c r="G177" s="1">
        <f t="shared" si="10"/>
        <v>0</v>
      </c>
      <c r="H177" s="2">
        <f t="shared" si="11"/>
        <v>0</v>
      </c>
      <c r="I177" s="20">
        <f t="shared" si="12"/>
        <v>0</v>
      </c>
      <c r="J177" s="2">
        <f t="shared" si="13"/>
        <v>0</v>
      </c>
      <c r="K177" s="1">
        <v>4.99</v>
      </c>
    </row>
    <row r="178" spans="1:11" x14ac:dyDescent="0.25">
      <c r="A178" s="3"/>
      <c r="B178" s="3"/>
      <c r="C178" s="60"/>
      <c r="D178" s="60"/>
      <c r="E178" s="41"/>
      <c r="F178" s="41"/>
      <c r="G178" s="1">
        <f t="shared" si="10"/>
        <v>0</v>
      </c>
      <c r="H178" s="2">
        <f t="shared" si="11"/>
        <v>0</v>
      </c>
      <c r="I178" s="20">
        <f t="shared" si="12"/>
        <v>0</v>
      </c>
      <c r="J178" s="2">
        <f t="shared" si="13"/>
        <v>0</v>
      </c>
      <c r="K178" s="1">
        <v>4.99</v>
      </c>
    </row>
    <row r="179" spans="1:11" x14ac:dyDescent="0.25">
      <c r="A179" s="3"/>
      <c r="B179" s="3"/>
      <c r="C179" s="60"/>
      <c r="D179" s="60"/>
      <c r="E179" s="41"/>
      <c r="F179" s="41"/>
      <c r="G179" s="1">
        <f t="shared" si="10"/>
        <v>0</v>
      </c>
      <c r="H179" s="2">
        <f t="shared" si="11"/>
        <v>0</v>
      </c>
      <c r="I179" s="20">
        <f t="shared" si="12"/>
        <v>0</v>
      </c>
      <c r="J179" s="2">
        <f t="shared" si="13"/>
        <v>0</v>
      </c>
      <c r="K179" s="1">
        <v>4.99</v>
      </c>
    </row>
    <row r="180" spans="1:11" x14ac:dyDescent="0.25">
      <c r="A180" s="3"/>
      <c r="B180" s="3"/>
      <c r="C180" s="60"/>
      <c r="D180" s="60"/>
      <c r="E180" s="41"/>
      <c r="F180" s="41"/>
      <c r="G180" s="1">
        <f t="shared" si="10"/>
        <v>0</v>
      </c>
      <c r="H180" s="2">
        <f t="shared" si="11"/>
        <v>0</v>
      </c>
      <c r="I180" s="20">
        <f t="shared" si="12"/>
        <v>0</v>
      </c>
      <c r="J180" s="2">
        <f t="shared" si="13"/>
        <v>0</v>
      </c>
      <c r="K180" s="1">
        <v>4.99</v>
      </c>
    </row>
    <row r="181" spans="1:11" x14ac:dyDescent="0.25">
      <c r="A181" s="3"/>
      <c r="B181" s="3"/>
      <c r="C181" s="60"/>
      <c r="D181" s="60"/>
      <c r="E181" s="41"/>
      <c r="F181" s="41"/>
      <c r="G181" s="1">
        <f t="shared" si="10"/>
        <v>0</v>
      </c>
      <c r="H181" s="2">
        <f t="shared" si="11"/>
        <v>0</v>
      </c>
      <c r="I181" s="20">
        <f t="shared" si="12"/>
        <v>0</v>
      </c>
      <c r="J181" s="2">
        <f t="shared" si="13"/>
        <v>0</v>
      </c>
      <c r="K181" s="1">
        <v>4.99</v>
      </c>
    </row>
    <row r="182" spans="1:11" x14ac:dyDescent="0.25">
      <c r="A182" s="3"/>
      <c r="B182" s="3"/>
      <c r="C182" s="60"/>
      <c r="D182" s="60"/>
      <c r="E182" s="41"/>
      <c r="F182" s="41"/>
      <c r="G182" s="1">
        <f t="shared" si="10"/>
        <v>0</v>
      </c>
      <c r="H182" s="2">
        <f t="shared" si="11"/>
        <v>0</v>
      </c>
      <c r="I182" s="20">
        <f t="shared" si="12"/>
        <v>0</v>
      </c>
      <c r="J182" s="2">
        <f t="shared" si="13"/>
        <v>0</v>
      </c>
      <c r="K182" s="1">
        <v>4.99</v>
      </c>
    </row>
    <row r="183" spans="1:11" x14ac:dyDescent="0.25">
      <c r="A183" s="3"/>
      <c r="B183" s="3"/>
      <c r="C183" s="60"/>
      <c r="D183" s="60"/>
      <c r="E183" s="41"/>
      <c r="F183" s="41"/>
      <c r="G183" s="1">
        <f t="shared" si="10"/>
        <v>0</v>
      </c>
      <c r="H183" s="2">
        <f t="shared" si="11"/>
        <v>0</v>
      </c>
      <c r="I183" s="20">
        <f t="shared" si="12"/>
        <v>0</v>
      </c>
      <c r="J183" s="2">
        <f t="shared" si="13"/>
        <v>0</v>
      </c>
      <c r="K183" s="1">
        <v>4.99</v>
      </c>
    </row>
    <row r="184" spans="1:11" x14ac:dyDescent="0.25">
      <c r="A184" s="3"/>
      <c r="B184" s="3"/>
      <c r="C184" s="60"/>
      <c r="D184" s="60"/>
      <c r="E184" s="41"/>
      <c r="F184" s="41"/>
      <c r="G184" s="1">
        <f t="shared" si="10"/>
        <v>0</v>
      </c>
      <c r="H184" s="2">
        <f t="shared" si="11"/>
        <v>0</v>
      </c>
      <c r="I184" s="20">
        <f t="shared" si="12"/>
        <v>0</v>
      </c>
      <c r="J184" s="2">
        <f t="shared" si="13"/>
        <v>0</v>
      </c>
      <c r="K184" s="1">
        <v>4.99</v>
      </c>
    </row>
    <row r="185" spans="1:11" x14ac:dyDescent="0.25">
      <c r="A185" s="3"/>
      <c r="B185" s="3"/>
      <c r="C185" s="60"/>
      <c r="D185" s="60"/>
      <c r="E185" s="41"/>
      <c r="F185" s="41"/>
      <c r="G185" s="1">
        <f t="shared" si="10"/>
        <v>0</v>
      </c>
      <c r="H185" s="2">
        <f t="shared" si="11"/>
        <v>0</v>
      </c>
      <c r="I185" s="20">
        <f t="shared" si="12"/>
        <v>0</v>
      </c>
      <c r="J185" s="2">
        <f t="shared" si="13"/>
        <v>0</v>
      </c>
      <c r="K185" s="1">
        <v>4.99</v>
      </c>
    </row>
    <row r="186" spans="1:11" x14ac:dyDescent="0.25">
      <c r="A186" s="3"/>
      <c r="B186" s="3"/>
      <c r="C186" s="60"/>
      <c r="D186" s="60"/>
      <c r="E186" s="41"/>
      <c r="F186" s="41"/>
      <c r="G186" s="1">
        <f t="shared" si="10"/>
        <v>0</v>
      </c>
      <c r="H186" s="2">
        <f t="shared" si="11"/>
        <v>0</v>
      </c>
      <c r="I186" s="20">
        <f t="shared" si="12"/>
        <v>0</v>
      </c>
      <c r="J186" s="2">
        <f t="shared" si="13"/>
        <v>0</v>
      </c>
      <c r="K186" s="1">
        <v>4.99</v>
      </c>
    </row>
    <row r="187" spans="1:11" x14ac:dyDescent="0.25">
      <c r="A187" s="3"/>
      <c r="B187" s="3"/>
      <c r="C187" s="60"/>
      <c r="D187" s="60"/>
      <c r="E187" s="41"/>
      <c r="F187" s="41"/>
      <c r="G187" s="1">
        <f t="shared" si="10"/>
        <v>0</v>
      </c>
      <c r="H187" s="2">
        <f t="shared" si="11"/>
        <v>0</v>
      </c>
      <c r="I187" s="20">
        <f t="shared" si="12"/>
        <v>0</v>
      </c>
      <c r="J187" s="2">
        <f t="shared" si="13"/>
        <v>0</v>
      </c>
      <c r="K187" s="1">
        <v>4.99</v>
      </c>
    </row>
    <row r="188" spans="1:11" x14ac:dyDescent="0.25">
      <c r="A188" s="3"/>
      <c r="B188" s="3"/>
      <c r="C188" s="60"/>
      <c r="D188" s="60"/>
      <c r="E188" s="41"/>
      <c r="F188" s="41"/>
      <c r="G188" s="1">
        <f t="shared" si="10"/>
        <v>0</v>
      </c>
      <c r="H188" s="2">
        <f t="shared" si="11"/>
        <v>0</v>
      </c>
      <c r="I188" s="20">
        <f t="shared" si="12"/>
        <v>0</v>
      </c>
      <c r="J188" s="2">
        <f t="shared" si="13"/>
        <v>0</v>
      </c>
      <c r="K188" s="1">
        <v>4.99</v>
      </c>
    </row>
    <row r="189" spans="1:11" x14ac:dyDescent="0.25">
      <c r="A189" s="3"/>
      <c r="B189" s="3"/>
      <c r="C189" s="60"/>
      <c r="D189" s="60"/>
      <c r="E189" s="41"/>
      <c r="F189" s="41"/>
      <c r="G189" s="1">
        <f t="shared" si="10"/>
        <v>0</v>
      </c>
      <c r="H189" s="2">
        <f t="shared" si="11"/>
        <v>0</v>
      </c>
      <c r="I189" s="20">
        <f t="shared" si="12"/>
        <v>0</v>
      </c>
      <c r="J189" s="2">
        <f t="shared" si="13"/>
        <v>0</v>
      </c>
      <c r="K189" s="1">
        <v>4.99</v>
      </c>
    </row>
    <row r="190" spans="1:11" x14ac:dyDescent="0.25">
      <c r="A190" s="3"/>
      <c r="B190" s="3"/>
      <c r="C190" s="60"/>
      <c r="D190" s="60"/>
      <c r="E190" s="41"/>
      <c r="F190" s="41"/>
      <c r="G190" s="1">
        <f t="shared" si="10"/>
        <v>0</v>
      </c>
      <c r="H190" s="2">
        <f t="shared" si="11"/>
        <v>0</v>
      </c>
      <c r="I190" s="20">
        <f t="shared" si="12"/>
        <v>0</v>
      </c>
      <c r="J190" s="2">
        <f t="shared" si="13"/>
        <v>0</v>
      </c>
      <c r="K190" s="1">
        <v>4.99</v>
      </c>
    </row>
    <row r="191" spans="1:11" x14ac:dyDescent="0.25">
      <c r="A191" s="3"/>
      <c r="B191" s="3"/>
      <c r="C191" s="60"/>
      <c r="D191" s="60"/>
      <c r="E191" s="41"/>
      <c r="F191" s="41"/>
      <c r="G191" s="1">
        <f t="shared" si="10"/>
        <v>0</v>
      </c>
      <c r="H191" s="2">
        <f t="shared" si="11"/>
        <v>0</v>
      </c>
      <c r="I191" s="20">
        <f t="shared" si="12"/>
        <v>0</v>
      </c>
      <c r="J191" s="2">
        <f t="shared" si="13"/>
        <v>0</v>
      </c>
      <c r="K191" s="1">
        <v>4.99</v>
      </c>
    </row>
    <row r="192" spans="1:11" x14ac:dyDescent="0.25">
      <c r="A192" s="3"/>
      <c r="B192" s="3"/>
      <c r="C192" s="60"/>
      <c r="D192" s="60"/>
      <c r="E192" s="41"/>
      <c r="F192" s="41"/>
      <c r="G192" s="1">
        <f t="shared" si="10"/>
        <v>0</v>
      </c>
      <c r="H192" s="2">
        <f t="shared" si="11"/>
        <v>0</v>
      </c>
      <c r="I192" s="20">
        <f t="shared" si="12"/>
        <v>0</v>
      </c>
      <c r="J192" s="2">
        <f t="shared" si="13"/>
        <v>0</v>
      </c>
      <c r="K192" s="1">
        <v>4.99</v>
      </c>
    </row>
    <row r="193" spans="1:11" x14ac:dyDescent="0.25">
      <c r="A193" s="3"/>
      <c r="B193" s="3"/>
      <c r="C193" s="60"/>
      <c r="D193" s="60"/>
      <c r="E193" s="41"/>
      <c r="F193" s="41"/>
      <c r="G193" s="1">
        <f t="shared" si="10"/>
        <v>0</v>
      </c>
      <c r="H193" s="2">
        <f t="shared" si="11"/>
        <v>0</v>
      </c>
      <c r="I193" s="20">
        <f t="shared" si="12"/>
        <v>0</v>
      </c>
      <c r="J193" s="2">
        <f t="shared" si="13"/>
        <v>0</v>
      </c>
      <c r="K193" s="1">
        <v>4.99</v>
      </c>
    </row>
    <row r="194" spans="1:11" x14ac:dyDescent="0.25">
      <c r="A194" s="3"/>
      <c r="B194" s="3"/>
      <c r="C194" s="60"/>
      <c r="D194" s="60"/>
      <c r="E194" s="41"/>
      <c r="F194" s="41"/>
      <c r="G194" s="1">
        <f t="shared" si="10"/>
        <v>0</v>
      </c>
      <c r="H194" s="2">
        <f t="shared" si="11"/>
        <v>0</v>
      </c>
      <c r="I194" s="20">
        <f t="shared" si="12"/>
        <v>0</v>
      </c>
      <c r="J194" s="2">
        <f t="shared" si="13"/>
        <v>0</v>
      </c>
      <c r="K194" s="1">
        <v>4.99</v>
      </c>
    </row>
    <row r="195" spans="1:11" x14ac:dyDescent="0.25">
      <c r="A195" s="3"/>
      <c r="B195" s="3"/>
      <c r="C195" s="60"/>
      <c r="D195" s="60"/>
      <c r="E195" s="41"/>
      <c r="F195" s="41"/>
      <c r="G195" s="1">
        <f t="shared" ref="G195:G258" si="14">IF(D195&gt;0,(D195*E195)+K195,0)</f>
        <v>0</v>
      </c>
      <c r="H195" s="2">
        <f t="shared" ref="H195:H258" si="15">IF(F195&gt;0,(D195*F195)-K195,0)</f>
        <v>0</v>
      </c>
      <c r="I195" s="20">
        <f t="shared" si="12"/>
        <v>0</v>
      </c>
      <c r="J195" s="2">
        <f t="shared" si="13"/>
        <v>0</v>
      </c>
      <c r="K195" s="1">
        <v>4.99</v>
      </c>
    </row>
    <row r="196" spans="1:11" x14ac:dyDescent="0.25">
      <c r="A196" s="3"/>
      <c r="B196" s="3"/>
      <c r="C196" s="60"/>
      <c r="D196" s="60"/>
      <c r="E196" s="41"/>
      <c r="F196" s="41"/>
      <c r="G196" s="1">
        <f t="shared" si="14"/>
        <v>0</v>
      </c>
      <c r="H196" s="2">
        <f t="shared" si="15"/>
        <v>0</v>
      </c>
      <c r="I196" s="20">
        <f t="shared" si="12"/>
        <v>0</v>
      </c>
      <c r="J196" s="2">
        <f t="shared" si="13"/>
        <v>0</v>
      </c>
      <c r="K196" s="1">
        <v>4.99</v>
      </c>
    </row>
    <row r="197" spans="1:11" x14ac:dyDescent="0.25">
      <c r="A197" s="3"/>
      <c r="B197" s="3"/>
      <c r="C197" s="60"/>
      <c r="D197" s="60"/>
      <c r="E197" s="41"/>
      <c r="F197" s="41"/>
      <c r="G197" s="1">
        <f t="shared" si="14"/>
        <v>0</v>
      </c>
      <c r="H197" s="2">
        <f t="shared" si="15"/>
        <v>0</v>
      </c>
      <c r="I197" s="20">
        <f t="shared" si="12"/>
        <v>0</v>
      </c>
      <c r="J197" s="2">
        <f t="shared" si="13"/>
        <v>0</v>
      </c>
      <c r="K197" s="1">
        <v>4.99</v>
      </c>
    </row>
    <row r="198" spans="1:11" x14ac:dyDescent="0.25">
      <c r="A198" s="3"/>
      <c r="B198" s="3"/>
      <c r="C198" s="60"/>
      <c r="D198" s="60"/>
      <c r="E198" s="41"/>
      <c r="F198" s="41"/>
      <c r="G198" s="1">
        <f t="shared" si="14"/>
        <v>0</v>
      </c>
      <c r="H198" s="2">
        <f t="shared" si="15"/>
        <v>0</v>
      </c>
      <c r="I198" s="20">
        <f t="shared" si="12"/>
        <v>0</v>
      </c>
      <c r="J198" s="2">
        <f t="shared" si="13"/>
        <v>0</v>
      </c>
      <c r="K198" s="1">
        <v>4.99</v>
      </c>
    </row>
    <row r="199" spans="1:11" x14ac:dyDescent="0.25">
      <c r="A199" s="3"/>
      <c r="B199" s="3"/>
      <c r="C199" s="60"/>
      <c r="D199" s="60"/>
      <c r="E199" s="41"/>
      <c r="F199" s="41"/>
      <c r="G199" s="1">
        <f t="shared" si="14"/>
        <v>0</v>
      </c>
      <c r="H199" s="2">
        <f t="shared" si="15"/>
        <v>0</v>
      </c>
      <c r="I199" s="20">
        <f t="shared" si="12"/>
        <v>0</v>
      </c>
      <c r="J199" s="2">
        <f t="shared" si="13"/>
        <v>0</v>
      </c>
      <c r="K199" s="1">
        <v>4.99</v>
      </c>
    </row>
    <row r="200" spans="1:11" x14ac:dyDescent="0.25">
      <c r="A200" s="3"/>
      <c r="B200" s="3"/>
      <c r="C200" s="60"/>
      <c r="D200" s="60"/>
      <c r="E200" s="41"/>
      <c r="F200" s="41"/>
      <c r="G200" s="1">
        <f t="shared" si="14"/>
        <v>0</v>
      </c>
      <c r="H200" s="2">
        <f t="shared" si="15"/>
        <v>0</v>
      </c>
      <c r="I200" s="20">
        <f t="shared" si="12"/>
        <v>0</v>
      </c>
      <c r="J200" s="2">
        <f t="shared" si="13"/>
        <v>0</v>
      </c>
      <c r="K200" s="1">
        <v>4.99</v>
      </c>
    </row>
    <row r="201" spans="1:11" x14ac:dyDescent="0.25">
      <c r="A201" s="3"/>
      <c r="B201" s="3"/>
      <c r="C201" s="60"/>
      <c r="D201" s="60"/>
      <c r="E201" s="41"/>
      <c r="F201" s="41"/>
      <c r="G201" s="1">
        <f t="shared" si="14"/>
        <v>0</v>
      </c>
      <c r="H201" s="2">
        <f t="shared" si="15"/>
        <v>0</v>
      </c>
      <c r="I201" s="20">
        <f t="shared" si="12"/>
        <v>0</v>
      </c>
      <c r="J201" s="2">
        <f t="shared" si="13"/>
        <v>0</v>
      </c>
      <c r="K201" s="1">
        <v>4.99</v>
      </c>
    </row>
    <row r="202" spans="1:11" x14ac:dyDescent="0.25">
      <c r="A202" s="3"/>
      <c r="B202" s="3"/>
      <c r="C202" s="60"/>
      <c r="D202" s="60"/>
      <c r="E202" s="41"/>
      <c r="F202" s="41"/>
      <c r="G202" s="1">
        <f t="shared" si="14"/>
        <v>0</v>
      </c>
      <c r="H202" s="2">
        <f t="shared" si="15"/>
        <v>0</v>
      </c>
      <c r="I202" s="20">
        <f t="shared" si="12"/>
        <v>0</v>
      </c>
      <c r="J202" s="2">
        <f t="shared" si="13"/>
        <v>0</v>
      </c>
      <c r="K202" s="1">
        <v>4.99</v>
      </c>
    </row>
    <row r="203" spans="1:11" x14ac:dyDescent="0.25">
      <c r="A203" s="3"/>
      <c r="B203" s="3"/>
      <c r="C203" s="60"/>
      <c r="D203" s="60"/>
      <c r="E203" s="41"/>
      <c r="F203" s="41"/>
      <c r="G203" s="1">
        <f t="shared" si="14"/>
        <v>0</v>
      </c>
      <c r="H203" s="2">
        <f t="shared" si="15"/>
        <v>0</v>
      </c>
      <c r="I203" s="20">
        <f t="shared" si="12"/>
        <v>0</v>
      </c>
      <c r="J203" s="2">
        <f t="shared" si="13"/>
        <v>0</v>
      </c>
      <c r="K203" s="1">
        <v>4.99</v>
      </c>
    </row>
    <row r="204" spans="1:11" x14ac:dyDescent="0.25">
      <c r="A204" s="3"/>
      <c r="B204" s="3"/>
      <c r="C204" s="60"/>
      <c r="D204" s="60"/>
      <c r="E204" s="41"/>
      <c r="F204" s="41"/>
      <c r="G204" s="1">
        <f t="shared" si="14"/>
        <v>0</v>
      </c>
      <c r="H204" s="2">
        <f t="shared" si="15"/>
        <v>0</v>
      </c>
      <c r="I204" s="20">
        <f t="shared" si="12"/>
        <v>0</v>
      </c>
      <c r="J204" s="2">
        <f t="shared" si="13"/>
        <v>0</v>
      </c>
      <c r="K204" s="1">
        <v>4.99</v>
      </c>
    </row>
    <row r="205" spans="1:11" x14ac:dyDescent="0.25">
      <c r="A205" s="3"/>
      <c r="B205" s="3"/>
      <c r="C205" s="60"/>
      <c r="D205" s="60"/>
      <c r="E205" s="41"/>
      <c r="F205" s="41"/>
      <c r="G205" s="1">
        <f t="shared" si="14"/>
        <v>0</v>
      </c>
      <c r="H205" s="2">
        <f t="shared" si="15"/>
        <v>0</v>
      </c>
      <c r="I205" s="20">
        <f t="shared" si="12"/>
        <v>0</v>
      </c>
      <c r="J205" s="2">
        <f t="shared" si="13"/>
        <v>0</v>
      </c>
      <c r="K205" s="1">
        <v>4.99</v>
      </c>
    </row>
    <row r="206" spans="1:11" x14ac:dyDescent="0.25">
      <c r="A206" s="3"/>
      <c r="B206" s="3"/>
      <c r="C206" s="60"/>
      <c r="D206" s="60"/>
      <c r="E206" s="41"/>
      <c r="F206" s="41"/>
      <c r="G206" s="1">
        <f t="shared" si="14"/>
        <v>0</v>
      </c>
      <c r="H206" s="2">
        <f t="shared" si="15"/>
        <v>0</v>
      </c>
      <c r="I206" s="20">
        <f t="shared" si="12"/>
        <v>0</v>
      </c>
      <c r="J206" s="2">
        <f t="shared" si="13"/>
        <v>0</v>
      </c>
      <c r="K206" s="1">
        <v>4.99</v>
      </c>
    </row>
    <row r="207" spans="1:11" x14ac:dyDescent="0.25">
      <c r="A207" s="3"/>
      <c r="B207" s="3"/>
      <c r="C207" s="60"/>
      <c r="D207" s="60"/>
      <c r="E207" s="41"/>
      <c r="F207" s="41"/>
      <c r="G207" s="1">
        <f t="shared" si="14"/>
        <v>0</v>
      </c>
      <c r="H207" s="2">
        <f t="shared" si="15"/>
        <v>0</v>
      </c>
      <c r="I207" s="20">
        <f t="shared" si="12"/>
        <v>0</v>
      </c>
      <c r="J207" s="2">
        <f t="shared" si="13"/>
        <v>0</v>
      </c>
      <c r="K207" s="1">
        <v>4.99</v>
      </c>
    </row>
    <row r="208" spans="1:11" x14ac:dyDescent="0.25">
      <c r="A208" s="3"/>
      <c r="B208" s="3"/>
      <c r="C208" s="60"/>
      <c r="D208" s="60"/>
      <c r="E208" s="41"/>
      <c r="F208" s="41"/>
      <c r="G208" s="1">
        <f t="shared" si="14"/>
        <v>0</v>
      </c>
      <c r="H208" s="2">
        <f t="shared" si="15"/>
        <v>0</v>
      </c>
      <c r="I208" s="20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0"/>
      <c r="D209" s="60"/>
      <c r="E209" s="41"/>
      <c r="F209" s="41"/>
      <c r="G209" s="1">
        <f t="shared" si="14"/>
        <v>0</v>
      </c>
      <c r="H209" s="2">
        <f t="shared" si="15"/>
        <v>0</v>
      </c>
      <c r="I209" s="20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0"/>
      <c r="D210" s="60"/>
      <c r="E210" s="41"/>
      <c r="F210" s="41"/>
      <c r="G210" s="1">
        <f t="shared" si="14"/>
        <v>0</v>
      </c>
      <c r="H210" s="2">
        <f t="shared" si="15"/>
        <v>0</v>
      </c>
      <c r="I210" s="20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0"/>
      <c r="D211" s="60"/>
      <c r="E211" s="41"/>
      <c r="F211" s="41"/>
      <c r="G211" s="1">
        <f t="shared" si="14"/>
        <v>0</v>
      </c>
      <c r="H211" s="2">
        <f t="shared" si="15"/>
        <v>0</v>
      </c>
      <c r="I211" s="20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0"/>
      <c r="D212" s="60"/>
      <c r="E212" s="41"/>
      <c r="F212" s="41"/>
      <c r="G212" s="1">
        <f t="shared" si="14"/>
        <v>0</v>
      </c>
      <c r="H212" s="2">
        <f t="shared" si="15"/>
        <v>0</v>
      </c>
      <c r="I212" s="20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0"/>
      <c r="D213" s="60"/>
      <c r="E213" s="41"/>
      <c r="F213" s="41"/>
      <c r="G213" s="1">
        <f t="shared" si="14"/>
        <v>0</v>
      </c>
      <c r="H213" s="2">
        <f t="shared" si="15"/>
        <v>0</v>
      </c>
      <c r="I213" s="20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0"/>
      <c r="D214" s="60"/>
      <c r="E214" s="41"/>
      <c r="F214" s="41"/>
      <c r="G214" s="1">
        <f t="shared" si="14"/>
        <v>0</v>
      </c>
      <c r="H214" s="2">
        <f t="shared" si="15"/>
        <v>0</v>
      </c>
      <c r="I214" s="20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0"/>
      <c r="D215" s="60"/>
      <c r="E215" s="41"/>
      <c r="F215" s="41"/>
      <c r="G215" s="1">
        <f t="shared" si="14"/>
        <v>0</v>
      </c>
      <c r="H215" s="2">
        <f t="shared" si="15"/>
        <v>0</v>
      </c>
      <c r="I215" s="20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0"/>
      <c r="D216" s="60"/>
      <c r="E216" s="41"/>
      <c r="F216" s="41"/>
      <c r="G216" s="1">
        <f t="shared" si="14"/>
        <v>0</v>
      </c>
      <c r="H216" s="2">
        <f t="shared" si="15"/>
        <v>0</v>
      </c>
      <c r="I216" s="20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0"/>
      <c r="D217" s="60"/>
      <c r="E217" s="41"/>
      <c r="F217" s="41"/>
      <c r="G217" s="1">
        <f t="shared" si="14"/>
        <v>0</v>
      </c>
      <c r="H217" s="2">
        <f t="shared" si="15"/>
        <v>0</v>
      </c>
      <c r="I217" s="20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0"/>
      <c r="D218" s="60"/>
      <c r="E218" s="41"/>
      <c r="F218" s="41"/>
      <c r="G218" s="1">
        <f t="shared" si="14"/>
        <v>0</v>
      </c>
      <c r="H218" s="2">
        <f t="shared" si="15"/>
        <v>0</v>
      </c>
      <c r="I218" s="20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0"/>
      <c r="D219" s="60"/>
      <c r="E219" s="41"/>
      <c r="F219" s="41"/>
      <c r="G219" s="1">
        <f t="shared" si="14"/>
        <v>0</v>
      </c>
      <c r="H219" s="2">
        <f t="shared" si="15"/>
        <v>0</v>
      </c>
      <c r="I219" s="20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0"/>
      <c r="D220" s="60"/>
      <c r="E220" s="41"/>
      <c r="F220" s="41"/>
      <c r="G220" s="1">
        <f t="shared" si="14"/>
        <v>0</v>
      </c>
      <c r="H220" s="2">
        <f t="shared" si="15"/>
        <v>0</v>
      </c>
      <c r="I220" s="20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0"/>
      <c r="D221" s="60"/>
      <c r="E221" s="41"/>
      <c r="F221" s="41"/>
      <c r="G221" s="1">
        <f t="shared" si="14"/>
        <v>0</v>
      </c>
      <c r="H221" s="2">
        <f t="shared" si="15"/>
        <v>0</v>
      </c>
      <c r="I221" s="20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0"/>
      <c r="D222" s="60"/>
      <c r="E222" s="41"/>
      <c r="F222" s="41"/>
      <c r="G222" s="1">
        <f t="shared" si="14"/>
        <v>0</v>
      </c>
      <c r="H222" s="2">
        <f t="shared" si="15"/>
        <v>0</v>
      </c>
      <c r="I222" s="20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0"/>
      <c r="D223" s="60"/>
      <c r="E223" s="41"/>
      <c r="F223" s="41"/>
      <c r="G223" s="1">
        <f t="shared" si="14"/>
        <v>0</v>
      </c>
      <c r="H223" s="2">
        <f t="shared" si="15"/>
        <v>0</v>
      </c>
      <c r="I223" s="20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0"/>
      <c r="D224" s="60"/>
      <c r="E224" s="41"/>
      <c r="F224" s="41"/>
      <c r="G224" s="1">
        <f t="shared" si="14"/>
        <v>0</v>
      </c>
      <c r="H224" s="2">
        <f t="shared" si="15"/>
        <v>0</v>
      </c>
      <c r="I224" s="20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0"/>
      <c r="D225" s="60"/>
      <c r="E225" s="41"/>
      <c r="F225" s="41"/>
      <c r="G225" s="1">
        <f t="shared" si="14"/>
        <v>0</v>
      </c>
      <c r="H225" s="2">
        <f t="shared" si="15"/>
        <v>0</v>
      </c>
      <c r="I225" s="20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0"/>
      <c r="D226" s="60"/>
      <c r="E226" s="41"/>
      <c r="F226" s="41"/>
      <c r="G226" s="1">
        <f t="shared" si="14"/>
        <v>0</v>
      </c>
      <c r="H226" s="2">
        <f t="shared" si="15"/>
        <v>0</v>
      </c>
      <c r="I226" s="20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0"/>
      <c r="D227" s="60"/>
      <c r="E227" s="41"/>
      <c r="F227" s="41"/>
      <c r="G227" s="1">
        <f t="shared" si="14"/>
        <v>0</v>
      </c>
      <c r="H227" s="2">
        <f t="shared" si="15"/>
        <v>0</v>
      </c>
      <c r="I227" s="20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0"/>
      <c r="D228" s="60"/>
      <c r="E228" s="41"/>
      <c r="F228" s="41"/>
      <c r="G228" s="1">
        <f t="shared" si="14"/>
        <v>0</v>
      </c>
      <c r="H228" s="2">
        <f t="shared" si="15"/>
        <v>0</v>
      </c>
      <c r="I228" s="20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0"/>
      <c r="D229" s="60"/>
      <c r="E229" s="41"/>
      <c r="F229" s="41"/>
      <c r="G229" s="1">
        <f t="shared" si="14"/>
        <v>0</v>
      </c>
      <c r="H229" s="2">
        <f t="shared" si="15"/>
        <v>0</v>
      </c>
      <c r="I229" s="20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0"/>
      <c r="D230" s="60"/>
      <c r="E230" s="41"/>
      <c r="F230" s="41"/>
      <c r="G230" s="1">
        <f t="shared" si="14"/>
        <v>0</v>
      </c>
      <c r="H230" s="2">
        <f t="shared" si="15"/>
        <v>0</v>
      </c>
      <c r="I230" s="20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0"/>
      <c r="D231" s="60"/>
      <c r="E231" s="41"/>
      <c r="F231" s="41"/>
      <c r="G231" s="1">
        <f t="shared" si="14"/>
        <v>0</v>
      </c>
      <c r="H231" s="2">
        <f t="shared" si="15"/>
        <v>0</v>
      </c>
      <c r="I231" s="20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0"/>
      <c r="D232" s="60"/>
      <c r="E232" s="41"/>
      <c r="F232" s="41"/>
      <c r="G232" s="1">
        <f t="shared" si="14"/>
        <v>0</v>
      </c>
      <c r="H232" s="2">
        <f t="shared" si="15"/>
        <v>0</v>
      </c>
      <c r="I232" s="20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0"/>
      <c r="D233" s="60"/>
      <c r="E233" s="41"/>
      <c r="F233" s="41"/>
      <c r="G233" s="1">
        <f t="shared" si="14"/>
        <v>0</v>
      </c>
      <c r="H233" s="2">
        <f t="shared" si="15"/>
        <v>0</v>
      </c>
      <c r="I233" s="20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0"/>
      <c r="D234" s="60"/>
      <c r="E234" s="41"/>
      <c r="F234" s="41"/>
      <c r="G234" s="1">
        <f t="shared" si="14"/>
        <v>0</v>
      </c>
      <c r="H234" s="2">
        <f t="shared" si="15"/>
        <v>0</v>
      </c>
      <c r="I234" s="20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0"/>
      <c r="D235" s="60"/>
      <c r="E235" s="41"/>
      <c r="F235" s="41"/>
      <c r="G235" s="1">
        <f t="shared" si="14"/>
        <v>0</v>
      </c>
      <c r="H235" s="2">
        <f t="shared" si="15"/>
        <v>0</v>
      </c>
      <c r="I235" s="20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0"/>
      <c r="D236" s="60"/>
      <c r="E236" s="41"/>
      <c r="F236" s="41"/>
      <c r="G236" s="1">
        <f t="shared" si="14"/>
        <v>0</v>
      </c>
      <c r="H236" s="2">
        <f t="shared" si="15"/>
        <v>0</v>
      </c>
      <c r="I236" s="20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0"/>
      <c r="D237" s="60"/>
      <c r="E237" s="41"/>
      <c r="F237" s="41"/>
      <c r="G237" s="1">
        <f t="shared" si="14"/>
        <v>0</v>
      </c>
      <c r="H237" s="2">
        <f t="shared" si="15"/>
        <v>0</v>
      </c>
      <c r="I237" s="20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0"/>
      <c r="D238" s="60"/>
      <c r="E238" s="41"/>
      <c r="F238" s="41"/>
      <c r="G238" s="1">
        <f t="shared" si="14"/>
        <v>0</v>
      </c>
      <c r="H238" s="2">
        <f t="shared" si="15"/>
        <v>0</v>
      </c>
      <c r="I238" s="20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0"/>
      <c r="D239" s="60"/>
      <c r="E239" s="41"/>
      <c r="F239" s="41"/>
      <c r="G239" s="1">
        <f t="shared" si="14"/>
        <v>0</v>
      </c>
      <c r="H239" s="2">
        <f t="shared" si="15"/>
        <v>0</v>
      </c>
      <c r="I239" s="20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0"/>
      <c r="D240" s="60"/>
      <c r="E240" s="41"/>
      <c r="F240" s="41"/>
      <c r="G240" s="1">
        <f t="shared" si="14"/>
        <v>0</v>
      </c>
      <c r="H240" s="2">
        <f t="shared" si="15"/>
        <v>0</v>
      </c>
      <c r="I240" s="20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0"/>
      <c r="D241" s="60"/>
      <c r="E241" s="41"/>
      <c r="F241" s="41"/>
      <c r="G241" s="1">
        <f t="shared" si="14"/>
        <v>0</v>
      </c>
      <c r="H241" s="2">
        <f t="shared" si="15"/>
        <v>0</v>
      </c>
      <c r="I241" s="20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0"/>
      <c r="D242" s="60"/>
      <c r="E242" s="41"/>
      <c r="F242" s="41"/>
      <c r="G242" s="1">
        <f t="shared" si="14"/>
        <v>0</v>
      </c>
      <c r="H242" s="2">
        <f t="shared" si="15"/>
        <v>0</v>
      </c>
      <c r="I242" s="20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0"/>
      <c r="D243" s="60"/>
      <c r="E243" s="41"/>
      <c r="F243" s="41"/>
      <c r="G243" s="1">
        <f t="shared" si="14"/>
        <v>0</v>
      </c>
      <c r="H243" s="2">
        <f t="shared" si="15"/>
        <v>0</v>
      </c>
      <c r="I243" s="20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0"/>
      <c r="D244" s="60"/>
      <c r="E244" s="41"/>
      <c r="F244" s="41"/>
      <c r="G244" s="1">
        <f t="shared" si="14"/>
        <v>0</v>
      </c>
      <c r="H244" s="2">
        <f t="shared" si="15"/>
        <v>0</v>
      </c>
      <c r="I244" s="20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0"/>
      <c r="D245" s="60"/>
      <c r="E245" s="41"/>
      <c r="F245" s="41"/>
      <c r="G245" s="1">
        <f t="shared" si="14"/>
        <v>0</v>
      </c>
      <c r="H245" s="2">
        <f t="shared" si="15"/>
        <v>0</v>
      </c>
      <c r="I245" s="20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0"/>
      <c r="D246" s="60"/>
      <c r="E246" s="41"/>
      <c r="F246" s="41"/>
      <c r="G246" s="1">
        <f t="shared" si="14"/>
        <v>0</v>
      </c>
      <c r="H246" s="2">
        <f t="shared" si="15"/>
        <v>0</v>
      </c>
      <c r="I246" s="20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0"/>
      <c r="D247" s="60"/>
      <c r="E247" s="41"/>
      <c r="F247" s="41"/>
      <c r="G247" s="1">
        <f t="shared" si="14"/>
        <v>0</v>
      </c>
      <c r="H247" s="2">
        <f t="shared" si="15"/>
        <v>0</v>
      </c>
      <c r="I247" s="20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0"/>
      <c r="D248" s="60"/>
      <c r="E248" s="41"/>
      <c r="F248" s="41"/>
      <c r="G248" s="1">
        <f t="shared" si="14"/>
        <v>0</v>
      </c>
      <c r="H248" s="2">
        <f t="shared" si="15"/>
        <v>0</v>
      </c>
      <c r="I248" s="20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0"/>
      <c r="D249" s="60"/>
      <c r="E249" s="41"/>
      <c r="F249" s="41"/>
      <c r="G249" s="1">
        <f t="shared" si="14"/>
        <v>0</v>
      </c>
      <c r="H249" s="2">
        <f t="shared" si="15"/>
        <v>0</v>
      </c>
      <c r="I249" s="20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0"/>
      <c r="D250" s="60"/>
      <c r="E250" s="41"/>
      <c r="F250" s="41"/>
      <c r="G250" s="1">
        <f t="shared" si="14"/>
        <v>0</v>
      </c>
      <c r="H250" s="2">
        <f t="shared" si="15"/>
        <v>0</v>
      </c>
      <c r="I250" s="20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0"/>
      <c r="D251" s="60"/>
      <c r="E251" s="41"/>
      <c r="F251" s="41"/>
      <c r="G251" s="1">
        <f t="shared" si="14"/>
        <v>0</v>
      </c>
      <c r="H251" s="2">
        <f t="shared" si="15"/>
        <v>0</v>
      </c>
      <c r="I251" s="20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0"/>
      <c r="D252" s="60"/>
      <c r="E252" s="41"/>
      <c r="F252" s="41"/>
      <c r="G252" s="1">
        <f t="shared" si="14"/>
        <v>0</v>
      </c>
      <c r="H252" s="2">
        <f t="shared" si="15"/>
        <v>0</v>
      </c>
      <c r="I252" s="20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0"/>
      <c r="D253" s="60"/>
      <c r="E253" s="41"/>
      <c r="F253" s="41"/>
      <c r="G253" s="1">
        <f t="shared" si="14"/>
        <v>0</v>
      </c>
      <c r="H253" s="2">
        <f t="shared" si="15"/>
        <v>0</v>
      </c>
      <c r="I253" s="20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0"/>
      <c r="D254" s="60"/>
      <c r="E254" s="41"/>
      <c r="F254" s="41"/>
      <c r="G254" s="1">
        <f t="shared" si="14"/>
        <v>0</v>
      </c>
      <c r="H254" s="2">
        <f t="shared" si="15"/>
        <v>0</v>
      </c>
      <c r="I254" s="20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0"/>
      <c r="D255" s="60"/>
      <c r="E255" s="41"/>
      <c r="F255" s="41"/>
      <c r="G255" s="1">
        <f t="shared" si="14"/>
        <v>0</v>
      </c>
      <c r="H255" s="2">
        <f t="shared" si="15"/>
        <v>0</v>
      </c>
      <c r="I255" s="20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0"/>
      <c r="D256" s="60"/>
      <c r="E256" s="41"/>
      <c r="F256" s="41"/>
      <c r="G256" s="1">
        <f t="shared" si="14"/>
        <v>0</v>
      </c>
      <c r="H256" s="2">
        <f t="shared" si="15"/>
        <v>0</v>
      </c>
      <c r="I256" s="20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0"/>
      <c r="D257" s="60"/>
      <c r="E257" s="41"/>
      <c r="F257" s="41"/>
      <c r="G257" s="1">
        <f t="shared" si="14"/>
        <v>0</v>
      </c>
      <c r="H257" s="2">
        <f t="shared" si="15"/>
        <v>0</v>
      </c>
      <c r="I257" s="20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0"/>
      <c r="D258" s="60"/>
      <c r="E258" s="41"/>
      <c r="F258" s="41"/>
      <c r="G258" s="1">
        <f t="shared" si="14"/>
        <v>0</v>
      </c>
      <c r="H258" s="2">
        <f t="shared" si="15"/>
        <v>0</v>
      </c>
      <c r="I258" s="20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0"/>
      <c r="D259" s="60"/>
      <c r="E259" s="41"/>
      <c r="F259" s="41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0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0"/>
      <c r="D260" s="60"/>
      <c r="E260" s="41"/>
      <c r="F260" s="41"/>
      <c r="G260" s="1">
        <f t="shared" si="20"/>
        <v>0</v>
      </c>
      <c r="H260" s="2">
        <f t="shared" si="21"/>
        <v>0</v>
      </c>
      <c r="I260" s="20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0"/>
      <c r="D261" s="60"/>
      <c r="E261" s="41"/>
      <c r="F261" s="41"/>
      <c r="G261" s="1">
        <f t="shared" si="20"/>
        <v>0</v>
      </c>
      <c r="H261" s="2">
        <f t="shared" si="21"/>
        <v>0</v>
      </c>
      <c r="I261" s="20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0"/>
      <c r="D262" s="60"/>
      <c r="E262" s="41"/>
      <c r="F262" s="41"/>
      <c r="G262" s="1">
        <f t="shared" si="20"/>
        <v>0</v>
      </c>
      <c r="H262" s="2">
        <f t="shared" si="21"/>
        <v>0</v>
      </c>
      <c r="I262" s="20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0"/>
      <c r="D263" s="60"/>
      <c r="E263" s="41"/>
      <c r="F263" s="41"/>
      <c r="G263" s="1">
        <f t="shared" si="20"/>
        <v>0</v>
      </c>
      <c r="H263" s="2">
        <f t="shared" si="21"/>
        <v>0</v>
      </c>
      <c r="I263" s="20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0"/>
      <c r="D264" s="60"/>
      <c r="E264" s="41"/>
      <c r="F264" s="41"/>
      <c r="G264" s="1">
        <f t="shared" si="20"/>
        <v>0</v>
      </c>
      <c r="H264" s="2">
        <f t="shared" si="21"/>
        <v>0</v>
      </c>
      <c r="I264" s="20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0"/>
      <c r="D265" s="60"/>
      <c r="E265" s="41"/>
      <c r="F265" s="41"/>
      <c r="G265" s="1">
        <f t="shared" si="20"/>
        <v>0</v>
      </c>
      <c r="H265" s="2">
        <f t="shared" si="21"/>
        <v>0</v>
      </c>
      <c r="I265" s="20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0"/>
      <c r="D266" s="60"/>
      <c r="E266" s="41"/>
      <c r="F266" s="41"/>
      <c r="G266" s="1">
        <f t="shared" si="20"/>
        <v>0</v>
      </c>
      <c r="H266" s="2">
        <f t="shared" si="21"/>
        <v>0</v>
      </c>
      <c r="I266" s="20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0"/>
      <c r="D267" s="60"/>
      <c r="E267" s="41"/>
      <c r="F267" s="41"/>
      <c r="G267" s="1">
        <f t="shared" si="20"/>
        <v>0</v>
      </c>
      <c r="H267" s="2">
        <f t="shared" si="21"/>
        <v>0</v>
      </c>
      <c r="I267" s="20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0"/>
      <c r="D268" s="60"/>
      <c r="E268" s="41"/>
      <c r="F268" s="41"/>
      <c r="G268" s="1">
        <f t="shared" si="20"/>
        <v>0</v>
      </c>
      <c r="H268" s="2">
        <f t="shared" si="21"/>
        <v>0</v>
      </c>
      <c r="I268" s="20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0"/>
      <c r="D269" s="60"/>
      <c r="E269" s="41"/>
      <c r="F269" s="41"/>
      <c r="G269" s="1">
        <f t="shared" si="20"/>
        <v>0</v>
      </c>
      <c r="H269" s="2">
        <f t="shared" si="21"/>
        <v>0</v>
      </c>
      <c r="I269" s="20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0"/>
      <c r="D270" s="60"/>
      <c r="E270" s="41"/>
      <c r="F270" s="41"/>
      <c r="G270" s="1">
        <f t="shared" si="20"/>
        <v>0</v>
      </c>
      <c r="H270" s="2">
        <f t="shared" si="21"/>
        <v>0</v>
      </c>
      <c r="I270" s="20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0"/>
      <c r="D271" s="60"/>
      <c r="E271" s="41"/>
      <c r="F271" s="41"/>
      <c r="G271" s="1">
        <f t="shared" si="20"/>
        <v>0</v>
      </c>
      <c r="H271" s="2">
        <f t="shared" si="21"/>
        <v>0</v>
      </c>
      <c r="I271" s="20">
        <f t="shared" si="18"/>
        <v>0</v>
      </c>
      <c r="J271" s="2">
        <f t="shared" si="19"/>
        <v>0</v>
      </c>
      <c r="K271" s="1">
        <v>4.99</v>
      </c>
    </row>
  </sheetData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10</v>
      </c>
      <c r="M2" t="s">
        <v>3</v>
      </c>
    </row>
    <row r="3" spans="1:13" x14ac:dyDescent="0.25">
      <c r="A3" s="3">
        <v>41900</v>
      </c>
      <c r="B3" t="s">
        <v>19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11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1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1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0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0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0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0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0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0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13" sqref="H13"/>
    </sheetView>
  </sheetViews>
  <sheetFormatPr defaultRowHeight="15" x14ac:dyDescent="0.25"/>
  <cols>
    <col min="1" max="1" width="8" style="1" bestFit="1" customWidth="1"/>
    <col min="2" max="2" width="11.5703125" style="1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7" t="s">
        <v>12</v>
      </c>
      <c r="B1" s="19" t="s">
        <v>17</v>
      </c>
      <c r="C1" s="9" t="s">
        <v>14</v>
      </c>
      <c r="D1" s="9" t="s">
        <v>15</v>
      </c>
      <c r="E1" s="9" t="s">
        <v>13</v>
      </c>
      <c r="F1" s="9" t="s">
        <v>16</v>
      </c>
      <c r="G1" s="9" t="s">
        <v>18</v>
      </c>
      <c r="H1" s="17" t="s">
        <v>22</v>
      </c>
      <c r="I1" s="9" t="s">
        <v>20</v>
      </c>
      <c r="J1" s="9" t="s">
        <v>21</v>
      </c>
      <c r="K1" s="9" t="s">
        <v>26</v>
      </c>
      <c r="L1" s="9" t="s">
        <v>27</v>
      </c>
      <c r="M1" s="9" t="s">
        <v>23</v>
      </c>
      <c r="N1" s="9" t="s">
        <v>24</v>
      </c>
      <c r="O1" s="9" t="s">
        <v>25</v>
      </c>
    </row>
    <row r="2" spans="1:15" x14ac:dyDescent="0.25">
      <c r="A2" s="1">
        <v>75</v>
      </c>
      <c r="B2" s="1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1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1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H15" sqref="H15"/>
    </sheetView>
  </sheetViews>
  <sheetFormatPr defaultRowHeight="15" x14ac:dyDescent="0.25"/>
  <cols>
    <col min="2" max="2" width="9.28515625" style="1" bestFit="1" customWidth="1"/>
    <col min="3" max="3" width="11.5703125" style="1" bestFit="1" customWidth="1"/>
    <col min="4" max="4" width="2" style="67" customWidth="1"/>
    <col min="5" max="5" width="10.5703125" bestFit="1" customWidth="1"/>
  </cols>
  <sheetData>
    <row r="1" spans="1:7" s="71" customFormat="1" x14ac:dyDescent="0.25">
      <c r="A1" s="69" t="s">
        <v>47</v>
      </c>
      <c r="B1" s="70" t="s">
        <v>48</v>
      </c>
      <c r="C1" s="70" t="s">
        <v>49</v>
      </c>
      <c r="D1" s="69"/>
      <c r="E1" s="69" t="s">
        <v>50</v>
      </c>
      <c r="F1" s="69" t="s">
        <v>47</v>
      </c>
      <c r="G1" s="69" t="s">
        <v>51</v>
      </c>
    </row>
    <row r="2" spans="1:7" x14ac:dyDescent="0.25">
      <c r="A2">
        <v>500</v>
      </c>
      <c r="B2" s="1">
        <v>7.18</v>
      </c>
      <c r="C2" s="1">
        <f>A2*B2</f>
        <v>3590</v>
      </c>
      <c r="E2" s="2">
        <f>SUM(C2:C20)</f>
        <v>7145</v>
      </c>
      <c r="F2">
        <f>SUM(A2:A20)</f>
        <v>1000</v>
      </c>
      <c r="G2" s="68">
        <f>E2/F2</f>
        <v>7.1449999999999996</v>
      </c>
    </row>
    <row r="3" spans="1:7" x14ac:dyDescent="0.25">
      <c r="A3">
        <v>500</v>
      </c>
      <c r="B3" s="1">
        <v>7.11</v>
      </c>
      <c r="C3" s="1">
        <f t="shared" ref="C3:C20" si="0">A3*B3</f>
        <v>3555</v>
      </c>
    </row>
    <row r="4" spans="1:7" x14ac:dyDescent="0.25">
      <c r="C4" s="1">
        <f t="shared" si="0"/>
        <v>0</v>
      </c>
    </row>
    <row r="5" spans="1:7" x14ac:dyDescent="0.25">
      <c r="C5" s="1">
        <f t="shared" si="0"/>
        <v>0</v>
      </c>
    </row>
    <row r="6" spans="1:7" x14ac:dyDescent="0.25">
      <c r="C6" s="1">
        <f t="shared" si="0"/>
        <v>0</v>
      </c>
    </row>
    <row r="7" spans="1:7" x14ac:dyDescent="0.25">
      <c r="C7" s="1">
        <f t="shared" si="0"/>
        <v>0</v>
      </c>
    </row>
    <row r="8" spans="1:7" x14ac:dyDescent="0.25">
      <c r="C8" s="1">
        <f t="shared" si="0"/>
        <v>0</v>
      </c>
    </row>
    <row r="9" spans="1:7" x14ac:dyDescent="0.25">
      <c r="C9" s="1">
        <f t="shared" si="0"/>
        <v>0</v>
      </c>
    </row>
    <row r="10" spans="1:7" x14ac:dyDescent="0.25">
      <c r="C10" s="1">
        <f t="shared" si="0"/>
        <v>0</v>
      </c>
    </row>
    <row r="11" spans="1:7" x14ac:dyDescent="0.25">
      <c r="C11" s="1">
        <f t="shared" si="0"/>
        <v>0</v>
      </c>
    </row>
    <row r="12" spans="1:7" x14ac:dyDescent="0.25">
      <c r="C12" s="1">
        <f t="shared" si="0"/>
        <v>0</v>
      </c>
    </row>
    <row r="13" spans="1:7" x14ac:dyDescent="0.25">
      <c r="C13" s="1">
        <f t="shared" si="0"/>
        <v>0</v>
      </c>
    </row>
    <row r="14" spans="1:7" x14ac:dyDescent="0.25">
      <c r="C14" s="1">
        <f t="shared" si="0"/>
        <v>0</v>
      </c>
    </row>
    <row r="15" spans="1:7" x14ac:dyDescent="0.25">
      <c r="C15" s="1">
        <f t="shared" si="0"/>
        <v>0</v>
      </c>
    </row>
    <row r="16" spans="1:7" x14ac:dyDescent="0.25">
      <c r="C16" s="1">
        <f t="shared" si="0"/>
        <v>0</v>
      </c>
    </row>
    <row r="17" spans="3:3" x14ac:dyDescent="0.25">
      <c r="C17" s="1">
        <f t="shared" si="0"/>
        <v>0</v>
      </c>
    </row>
    <row r="18" spans="3:3" x14ac:dyDescent="0.25">
      <c r="C18" s="1">
        <f t="shared" si="0"/>
        <v>0</v>
      </c>
    </row>
    <row r="19" spans="3:3" x14ac:dyDescent="0.25">
      <c r="C19" s="1">
        <f t="shared" si="0"/>
        <v>0</v>
      </c>
    </row>
    <row r="20" spans="3:3" x14ac:dyDescent="0.25">
      <c r="C20" s="1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G18" sqref="G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9" t="s">
        <v>52</v>
      </c>
    </row>
    <row r="2" spans="1:1" x14ac:dyDescent="0.25">
      <c r="A2" t="s">
        <v>33</v>
      </c>
    </row>
    <row r="3" spans="1:1" x14ac:dyDescent="0.25">
      <c r="A3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Extrem Trading</vt:lpstr>
      <vt:lpstr>iTrade</vt:lpstr>
      <vt:lpstr>Job Rate</vt:lpstr>
      <vt:lpstr>Average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2015-01-20T21:18:09Z</dcterms:modified>
</cp:coreProperties>
</file>