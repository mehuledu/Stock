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/>
  </bookViews>
  <sheets>
    <sheet name="Auto &amp; Home Insurance" sheetId="1" r:id="rId1"/>
    <sheet name="Condo Expance" sheetId="2" r:id="rId2"/>
  </sheets>
  <calcPr calcId="145621"/>
</workbook>
</file>

<file path=xl/calcChain.xml><?xml version="1.0" encoding="utf-8"?>
<calcChain xmlns="http://schemas.openxmlformats.org/spreadsheetml/2006/main">
  <c r="C14" i="2" l="1"/>
  <c r="C15" i="2" s="1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B14" i="2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C15" i="1"/>
  <c r="D15" i="1"/>
  <c r="E15" i="1"/>
  <c r="D14" i="1"/>
  <c r="C14" i="1"/>
  <c r="B14" i="1"/>
</calcChain>
</file>

<file path=xl/comments1.xml><?xml version="1.0" encoding="utf-8"?>
<comments xmlns="http://schemas.openxmlformats.org/spreadsheetml/2006/main">
  <authors>
    <author>Mehul Patel</author>
  </authors>
  <commentList>
    <comment ref="C7" authorId="0">
      <text>
        <r>
          <rPr>
            <sz val="9"/>
            <color indexed="81"/>
            <rFont val="Tahoma"/>
            <family val="2"/>
          </rPr>
          <t>Switch Insurance</t>
        </r>
      </text>
    </comment>
    <comment ref="B18" authorId="0">
      <text>
        <r>
          <rPr>
            <b/>
            <sz val="9"/>
            <color indexed="81"/>
            <rFont val="Tahoma"/>
            <charset val="1"/>
          </rPr>
          <t>Johnson.ca
Lori Moorhouse 
Phone: 705.325.5216 
Toll free: 1.800.435.1058 
Fax: 866.632.1135 
40 Colborne Street West, Orillia, ON, Canada L3V-2Y4 
lmoorhouse@johnson.ca</t>
        </r>
      </text>
    </comment>
    <comment ref="C18" authorId="0">
      <text>
        <r>
          <rPr>
            <b/>
            <sz val="9"/>
            <color indexed="81"/>
            <rFont val="Tahoma"/>
            <charset val="1"/>
          </rPr>
          <t xml:space="preserve">cooperatorsgroupinsurance.ca
HB Group Insurance Management
Lisa Nicolaou
P: 1-866-848-1947 ext 554277
E: lnicolaou@hbgrpins.com
------------------------------------------------------------------
Johnson.ca
Lori Moorhouse 
Phone: 705.325.5216 
Toll free: 1.800.435.1058 
Fax: 866.632.1135 
40 Colborne Street West, Orillia, ON, Canada L3V-2Y4 
lmoorhouse@johnson.ca </t>
        </r>
      </text>
    </comment>
  </commentList>
</comments>
</file>

<file path=xl/comments2.xml><?xml version="1.0" encoding="utf-8"?>
<comments xmlns="http://schemas.openxmlformats.org/spreadsheetml/2006/main">
  <authors>
    <author>Mehul Patel</author>
  </authors>
  <commentList>
    <comment ref="B12" authorId="0">
      <text>
        <r>
          <rPr>
            <sz val="9"/>
            <color indexed="81"/>
            <rFont val="Tahoma"/>
            <charset val="1"/>
          </rPr>
          <t xml:space="preserve">+ 45 additional chrged to all conod owner..!!
</t>
        </r>
      </text>
    </comment>
  </commentList>
</comments>
</file>

<file path=xl/sharedStrings.xml><?xml version="1.0" encoding="utf-8"?>
<sst xmlns="http://schemas.openxmlformats.org/spreadsheetml/2006/main" count="31" uniqueCount="19">
  <si>
    <t>Total</t>
  </si>
  <si>
    <t>May</t>
  </si>
  <si>
    <t>Insurance Company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</si>
  <si>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</si>
  <si>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</si>
  <si>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</si>
  <si>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</si>
  <si>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</si>
  <si>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</si>
  <si>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</si>
  <si>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</si>
  <si>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</si>
  <si>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</si>
  <si>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</si>
  <si>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Insurance Cost By Year</t>
  </si>
  <si>
    <t>Johnson</t>
  </si>
  <si>
    <t>Change in $$$</t>
  </si>
  <si>
    <t>Johnson-HB</t>
  </si>
  <si>
    <t>Increment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</si>
</sst>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0" fontId="2" fillId="0" borderId="0" xfId="0" applyFont="1"/>
    <xf numFmtId="0" fontId="2" fillId="0" borderId="0" xfId="0" applyFont="1" applyAlignment="1">
      <alignment horizontal="center" vertical="top"/>
    </xf>
    <xf numFmtId="44" fontId="0" fillId="2" borderId="1" xfId="0" applyNumberFormat="1" applyFill="1" applyBorder="1"/>
    <xf numFmtId="0" fontId="2" fillId="0" borderId="0" xfId="0" applyFont="1" applyFill="1" applyBorder="1"/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4" fontId="2" fillId="0" borderId="1" xfId="0" applyNumberFormat="1" applyFont="1" applyBorder="1" applyAlignment="1">
      <alignment vertical="top"/>
    </xf>
    <xf numFmtId="44" fontId="0" fillId="0" borderId="0" xfId="0" applyNumberFormat="1" applyFill="1" applyBorder="1"/>
    <xf numFmtId="44" fontId="2" fillId="0" borderId="0" xfId="0" applyNumberFormat="1" applyFont="1" applyFill="1" applyBorder="1" applyAlignment="1">
      <alignment vertical="top"/>
    </xf>
    <xf numFmtId="44" fontId="2" fillId="2" borderId="1" xfId="0" applyNumberFormat="1" applyFont="1" applyFill="1" applyBorder="1"/>
  </cellXfs>
  <cellStyles count="2">
    <cellStyle name="Currency" xfId="1" builtinId="4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Views>
    <sheetView tabSelected="1" workbookViewId="0">
      <selection activeCell="G27" sqref="G27"/>
    </sheetView>
  </sheetViews>
  <sheetFormatPr defaultRowHeight="15" x14ac:dyDescent="0.25"/>
  <cols>
    <col min="1" max="1" width="21.140625" bestFit="1" customWidth="1"/>
    <col min="2" max="2" width="10.5703125" bestFit="1" customWidth="1"/>
    <col min="3" max="3" width="11.42578125" bestFit="1" customWidth="1"/>
    <col min="4" max="4" width="10.5703125" bestFit="1" customWidth="1"/>
    <col min="5" max="5" width="9.5703125" customWidth="1"/>
  </cols>
  <sheetData>
    <row r="1" spans="1:18" s="3" customFormat="1" x14ac:dyDescent="0.25">
      <c r="B1" s="3">
        <v>2012</v>
      </c>
      <c r="C1" s="3">
        <v>2013</v>
      </c>
      <c r="D1" s="3">
        <v>2014</v>
      </c>
    </row>
    <row r="2" spans="1:18" x14ac:dyDescent="0.25">
      <c r="A2" s="2" t="s">
        <v>3</v>
      </c>
      <c r="B2" s="1">
        <v>248.23</v>
      </c>
      <c r="C2" s="1">
        <v>263.91000000000003</v>
      </c>
      <c r="D2" s="1">
        <v>208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x14ac:dyDescent="0.25">
      <c r="A3" s="2" t="s">
        <v>4</v>
      </c>
      <c r="B3" s="1">
        <v>248.23</v>
      </c>
      <c r="C3" s="1">
        <v>263.91000000000003</v>
      </c>
      <c r="D3" s="1">
        <v>208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8" x14ac:dyDescent="0.25">
      <c r="A4" s="2" t="s">
        <v>5</v>
      </c>
      <c r="B4" s="1">
        <v>248.23</v>
      </c>
      <c r="C4" s="1">
        <v>263.91000000000003</v>
      </c>
      <c r="D4" s="1">
        <v>208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x14ac:dyDescent="0.25">
      <c r="A5" s="2" t="s">
        <v>6</v>
      </c>
      <c r="B5" s="1">
        <v>248.23</v>
      </c>
      <c r="C5" s="1">
        <v>263.91000000000003</v>
      </c>
      <c r="D5" s="1">
        <v>208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x14ac:dyDescent="0.25">
      <c r="A6" s="2" t="s">
        <v>1</v>
      </c>
      <c r="B6" s="1">
        <v>263.91000000000003</v>
      </c>
      <c r="C6" s="1">
        <v>263.91000000000003</v>
      </c>
      <c r="D6" s="1">
        <v>208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8" x14ac:dyDescent="0.25">
      <c r="A7" s="2" t="s">
        <v>7</v>
      </c>
      <c r="B7" s="1">
        <v>263.91000000000003</v>
      </c>
      <c r="C7" s="1">
        <v>208</v>
      </c>
      <c r="D7" s="1">
        <v>208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x14ac:dyDescent="0.25">
      <c r="A8" s="2" t="s">
        <v>8</v>
      </c>
      <c r="B8" s="1">
        <v>263.91000000000003</v>
      </c>
      <c r="C8" s="1">
        <v>208</v>
      </c>
      <c r="D8" s="1">
        <v>208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8" x14ac:dyDescent="0.25">
      <c r="A9" s="2" t="s">
        <v>9</v>
      </c>
      <c r="B9" s="1">
        <v>263.91000000000003</v>
      </c>
      <c r="C9" s="1">
        <v>208</v>
      </c>
      <c r="D9" s="1">
        <v>208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25">
      <c r="A10" s="2" t="s">
        <v>10</v>
      </c>
      <c r="B10" s="1">
        <v>263.91000000000003</v>
      </c>
      <c r="C10" s="1">
        <v>208</v>
      </c>
      <c r="D10" s="1">
        <v>208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8" x14ac:dyDescent="0.25">
      <c r="A11" s="2" t="s">
        <v>11</v>
      </c>
      <c r="B11" s="1">
        <v>263.91000000000003</v>
      </c>
      <c r="C11" s="1">
        <v>208</v>
      </c>
      <c r="D11" s="1">
        <v>208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8" x14ac:dyDescent="0.25">
      <c r="A12" s="2" t="s">
        <v>12</v>
      </c>
      <c r="B12" s="1">
        <v>263.91000000000003</v>
      </c>
      <c r="C12" s="1">
        <v>208</v>
      </c>
      <c r="D12" s="1">
        <v>208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8" x14ac:dyDescent="0.25">
      <c r="A13" s="2" t="s">
        <v>13</v>
      </c>
      <c r="B13" s="1">
        <v>263.91000000000003</v>
      </c>
      <c r="C13" s="1">
        <v>208</v>
      </c>
      <c r="D13" s="1">
        <v>208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x14ac:dyDescent="0.25">
      <c r="A14" s="4" t="s">
        <v>14</v>
      </c>
      <c r="B14" s="4">
        <f>SUM(B2:B13)</f>
        <v>3104.1999999999994</v>
      </c>
      <c r="C14" s="4">
        <f>SUM(C2:C13)</f>
        <v>2775.55</v>
      </c>
      <c r="D14" s="4">
        <f t="shared" ref="D14" si="0">SUM(D2:D13)</f>
        <v>2496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s="6" customFormat="1" x14ac:dyDescent="0.25">
      <c r="A15" s="10" t="s">
        <v>16</v>
      </c>
      <c r="B15" s="7"/>
      <c r="C15" s="7">
        <f t="shared" ref="C15:D15" si="1">IF(C1&gt;0,B14-C14,"")</f>
        <v>328.64999999999918</v>
      </c>
      <c r="D15" s="7">
        <f t="shared" si="1"/>
        <v>279.55000000000018</v>
      </c>
      <c r="E15" s="7" t="str">
        <f>IF(E1&gt;0,D14-E14,"")</f>
        <v/>
      </c>
      <c r="F15" s="7" t="str">
        <f t="shared" ref="F15:R15" si="2">IF(F1&gt;0,E14-F14,"")</f>
        <v/>
      </c>
      <c r="G15" s="7" t="str">
        <f t="shared" si="2"/>
        <v/>
      </c>
      <c r="H15" s="7" t="str">
        <f t="shared" si="2"/>
        <v/>
      </c>
      <c r="I15" s="7" t="str">
        <f t="shared" si="2"/>
        <v/>
      </c>
      <c r="J15" s="7" t="str">
        <f t="shared" si="2"/>
        <v/>
      </c>
      <c r="K15" s="7" t="str">
        <f t="shared" si="2"/>
        <v/>
      </c>
      <c r="L15" s="7" t="str">
        <f t="shared" si="2"/>
        <v/>
      </c>
      <c r="M15" s="7" t="str">
        <f t="shared" si="2"/>
        <v/>
      </c>
      <c r="N15" s="7" t="str">
        <f t="shared" si="2"/>
        <v/>
      </c>
      <c r="O15" s="7" t="str">
        <f t="shared" si="2"/>
        <v/>
      </c>
      <c r="P15" s="7" t="str">
        <f t="shared" si="2"/>
        <v/>
      </c>
      <c r="Q15" s="7" t="str">
        <f t="shared" si="2"/>
        <v/>
      </c>
      <c r="R15" s="7" t="str">
        <f t="shared" si="2"/>
        <v/>
      </c>
    </row>
    <row r="16" spans="1:18" x14ac:dyDescent="0.25">
      <c r="A16" s="5"/>
    </row>
    <row r="18" spans="1:3" x14ac:dyDescent="0.25">
      <c r="A18" s="5" t="s">
        <v>2</v>
      </c>
      <c r="B18" t="s">
        <v>15</v>
      </c>
      <c r="C18" t="s">
        <v>17</v>
      </c>
    </row>
  </sheetData>
  <conditionalFormatting sqref="C15:R15">
    <cfRule type="cellIs" dxfId="11" priority="6" operator="greaterThan">
      <formula>0</formula>
    </cfRule>
  </conditionalFormatting>
  <conditionalFormatting sqref="D15">
    <cfRule type="cellIs" dxfId="10" priority="5" operator="lessThan">
      <formula>0</formula>
    </cfRule>
  </conditionalFormatting>
  <conditionalFormatting sqref="B15">
    <cfRule type="cellIs" dxfId="9" priority="4" operator="greaterThan">
      <formula>0</formula>
    </cfRule>
    <cfRule type="cellIs" dxfId="8" priority="3" operator="equal">
      <formula>""</formula>
    </cfRule>
  </conditionalFormatting>
  <conditionalFormatting sqref="A15">
    <cfRule type="cellIs" dxfId="7" priority="1" operator="equal">
      <formula>""</formula>
    </cfRule>
    <cfRule type="cellIs" dxfId="6" priority="2" operator="greaterThan">
      <formula>0</formula>
    </cfRule>
  </conditionalFormatting>
  <pageMargins left="0.7" right="0.7" top="0.75" bottom="0.75" header="0.3" footer="0.3"/>
  <pageSetup orientation="portrait" r:id="rId1"/>
  <ignoredErrors>
    <ignoredError sqref="B14:D14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5"/>
  <sheetViews>
    <sheetView workbookViewId="0">
      <selection activeCell="F28" sqref="F28"/>
    </sheetView>
  </sheetViews>
  <sheetFormatPr defaultRowHeight="15" x14ac:dyDescent="0.25"/>
  <cols>
    <col min="1" max="1" width="11.5703125" bestFit="1" customWidth="1"/>
    <col min="2" max="3" width="10.5703125" bestFit="1" customWidth="1"/>
  </cols>
  <sheetData>
    <row r="1" spans="1:19" s="8" customFormat="1" x14ac:dyDescent="0.25">
      <c r="B1" s="9">
        <v>2012</v>
      </c>
      <c r="C1" s="9">
        <v>2013</v>
      </c>
    </row>
    <row r="2" spans="1:19" x14ac:dyDescent="0.25">
      <c r="A2" s="2" t="s">
        <v>3</v>
      </c>
      <c r="B2" s="1">
        <v>616.88</v>
      </c>
      <c r="C2" s="1">
        <v>625.95000000000005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2" t="s">
        <v>4</v>
      </c>
      <c r="B3" s="1">
        <v>616.88</v>
      </c>
      <c r="C3" s="1">
        <v>625.95000000000005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" t="s">
        <v>5</v>
      </c>
      <c r="B4" s="1">
        <v>616.88</v>
      </c>
      <c r="C4" s="1">
        <v>625.95000000000005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2" t="s">
        <v>6</v>
      </c>
      <c r="B5" s="1">
        <v>616.88</v>
      </c>
      <c r="C5" s="1">
        <v>625.95000000000005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2" t="s">
        <v>1</v>
      </c>
      <c r="B6" s="1">
        <v>616.88</v>
      </c>
      <c r="C6" s="1">
        <v>625.95000000000005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2" t="s">
        <v>7</v>
      </c>
      <c r="B7" s="1">
        <v>616.88</v>
      </c>
      <c r="C7" s="1">
        <v>625.95000000000005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2" t="s">
        <v>8</v>
      </c>
      <c r="B8" s="1">
        <v>625.95000000000005</v>
      </c>
      <c r="C8" s="1">
        <v>625.95000000000005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2" t="s">
        <v>9</v>
      </c>
      <c r="B9" s="1">
        <v>625.95000000000005</v>
      </c>
      <c r="C9" s="1">
        <v>625.95000000000005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2" t="s">
        <v>10</v>
      </c>
      <c r="B10" s="1">
        <v>625.95000000000005</v>
      </c>
      <c r="C10" s="1">
        <v>625.95000000000005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2" t="s">
        <v>11</v>
      </c>
      <c r="B11" s="1">
        <v>625.95000000000005</v>
      </c>
      <c r="C11" s="1">
        <v>625.95000000000005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2" t="s">
        <v>12</v>
      </c>
      <c r="B12" s="1">
        <v>670.95</v>
      </c>
      <c r="C12" s="1">
        <v>625.95000000000005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2" t="s">
        <v>13</v>
      </c>
      <c r="B13" s="1">
        <v>625.95000000000005</v>
      </c>
      <c r="C13" s="1">
        <v>625.95000000000005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s="11" customFormat="1" x14ac:dyDescent="0.25">
      <c r="A14" s="13" t="s">
        <v>0</v>
      </c>
      <c r="B14" s="4">
        <f>IF(B1&gt;0,SUM(B2:B13),"")</f>
        <v>7501.98</v>
      </c>
      <c r="C14" s="4">
        <f t="shared" ref="C14:R14" si="0">IF(C1&gt;0,SUM(C2:C13),"")</f>
        <v>7511.3999999999987</v>
      </c>
      <c r="D14" s="4" t="str">
        <f t="shared" si="0"/>
        <v/>
      </c>
      <c r="E14" s="4" t="str">
        <f t="shared" si="0"/>
        <v/>
      </c>
      <c r="F14" s="4" t="str">
        <f t="shared" si="0"/>
        <v/>
      </c>
      <c r="G14" s="4" t="str">
        <f t="shared" si="0"/>
        <v/>
      </c>
      <c r="H14" s="4" t="str">
        <f t="shared" si="0"/>
        <v/>
      </c>
      <c r="I14" s="4" t="str">
        <f t="shared" si="0"/>
        <v/>
      </c>
      <c r="J14" s="4" t="str">
        <f t="shared" si="0"/>
        <v/>
      </c>
      <c r="K14" s="4" t="str">
        <f t="shared" si="0"/>
        <v/>
      </c>
      <c r="L14" s="4" t="str">
        <f t="shared" si="0"/>
        <v/>
      </c>
      <c r="M14" s="4" t="str">
        <f t="shared" si="0"/>
        <v/>
      </c>
      <c r="N14" s="4" t="str">
        <f t="shared" si="0"/>
        <v/>
      </c>
      <c r="O14" s="4" t="str">
        <f t="shared" si="0"/>
        <v/>
      </c>
      <c r="P14" s="4" t="str">
        <f t="shared" si="0"/>
        <v/>
      </c>
      <c r="Q14" s="4" t="str">
        <f t="shared" si="0"/>
        <v/>
      </c>
      <c r="R14" s="4" t="str">
        <f t="shared" si="0"/>
        <v/>
      </c>
    </row>
    <row r="15" spans="1:19" s="12" customFormat="1" x14ac:dyDescent="0.25">
      <c r="A15" s="10" t="s">
        <v>18</v>
      </c>
      <c r="B15" s="7"/>
      <c r="C15" s="10">
        <f>IF(C1&gt;0,C14-B14,"")</f>
        <v>9.4199999999991633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</sheetData>
  <conditionalFormatting sqref="C15:R15">
    <cfRule type="cellIs" dxfId="5" priority="6" operator="equal">
      <formula>""</formula>
    </cfRule>
  </conditionalFormatting>
  <conditionalFormatting sqref="C15">
    <cfRule type="cellIs" dxfId="4" priority="7" operator="greaterThan">
      <formula>0</formula>
    </cfRule>
  </conditionalFormatting>
  <conditionalFormatting sqref="A15">
    <cfRule type="cellIs" dxfId="3" priority="3" operator="equal">
      <formula>""</formula>
    </cfRule>
    <cfRule type="cellIs" dxfId="2" priority="4" operator="greaterThan">
      <formula>0</formula>
    </cfRule>
  </conditionalFormatting>
  <conditionalFormatting sqref="B15">
    <cfRule type="cellIs" dxfId="1" priority="1" operator="equal">
      <formula>""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 &amp; Home Insurance</vt:lpstr>
      <vt:lpstr>Condo Expance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Patel</dc:creator>
  <cp:lastModifiedBy>Mehul Patel</cp:lastModifiedBy>
  <dcterms:created xsi:type="dcterms:W3CDTF">2013-04-17T14:07:42Z</dcterms:created>
  <dcterms:modified xsi:type="dcterms:W3CDTF">2015-01-08T22:59:50Z</dcterms:modified>
</cp:coreProperties>
</file>